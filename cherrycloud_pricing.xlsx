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ing" sheetId="1" state="visible" r:id="rId3"/>
    <sheet name="Bundle Conten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<sst xmlns="http://schemas.openxmlformats.org/spreadsheetml/2006/main" count="368" uniqueCount="153">
  <si>
    <t xml:space="preserve">cherry cloud — Pricing vs Amazon</t>
  </si>
  <si>
    <t xml:space="preserve">Your price vs. a comparable Amazon listing. Amazon prices are estimates of current market listings (June 2026) and fluctuate.</t>
  </si>
  <si>
    <t xml:space="preserve">Category</t>
  </si>
  <si>
    <t xml:space="preserve">Product</t>
  </si>
  <si>
    <t xml:space="preserve">Bundle Contents</t>
  </si>
  <si>
    <t xml:space="preserve">Your Price ($)</t>
  </si>
  <si>
    <t xml:space="preserve">Comparable Amazon Listing</t>
  </si>
  <si>
    <t xml:space="preserve">Amazon Price (est. $)</t>
  </si>
  <si>
    <t xml:space="preserve">Profit ($)</t>
  </si>
  <si>
    <t xml:space="preserve">Margin (%)</t>
  </si>
  <si>
    <t xml:space="preserve">Squishies</t>
  </si>
  <si>
    <t xml:space="preserve">Dumpling Duo Bundle</t>
  </si>
  <si>
    <t xml:space="preserve">2 mystery dumpling squishies</t>
  </si>
  <si>
    <t xml:space="preserve">Dumpling squishy 2-pack</t>
  </si>
  <si>
    <t xml:space="preserve">Squish Mix Bundle</t>
  </si>
  <si>
    <t xml:space="preserve">Dumpling + 5 glitter cubes + 4 cat paws</t>
  </si>
  <si>
    <t xml:space="preserve">10-pc kawaii squishy variety pack</t>
  </si>
  <si>
    <t xml:space="preserve">Mystery Dumpling 3-Pack</t>
  </si>
  <si>
    <t xml:space="preserve">3 dumpling squishies</t>
  </si>
  <si>
    <t xml:space="preserve">Dumpling squishy 3-pack</t>
  </si>
  <si>
    <t xml:space="preserve">Kawaii Squad Bundle</t>
  </si>
  <si>
    <t xml:space="preserve">4 cat paws + mystery + slime</t>
  </si>
  <si>
    <t xml:space="preserve">6-pc squishy + slime set</t>
  </si>
  <si>
    <t xml:space="preserve">Mystery Surprise Bundle</t>
  </si>
  <si>
    <t xml:space="preserve">Donut squishy + candy slime</t>
  </si>
  <si>
    <t xml:space="preserve">Squishy + slime duo pack</t>
  </si>
  <si>
    <t xml:space="preserve">Slime Triple Bundle</t>
  </si>
  <si>
    <t xml:space="preserve">3 candy fluff slimes</t>
  </si>
  <si>
    <t xml:space="preserve">3-pack candy/butter slime</t>
  </si>
  <si>
    <t xml:space="preserve">Ultimate Squishy Bundle</t>
  </si>
  <si>
    <t xml:space="preserve">14 squishies (full collection)</t>
  </si>
  <si>
    <t xml:space="preserve">30-pc squishy variety pack</t>
  </si>
  <si>
    <t xml:space="preserve">Candy</t>
  </si>
  <si>
    <t xml:space="preserve">Tropical PeelerZ Bundle</t>
  </si>
  <si>
    <t xml:space="preserve">3 PeelerZ packs (mango/lychee/pineapple)</t>
  </si>
  <si>
    <t xml:space="preserve">Amos Peelerz 3-pack</t>
  </si>
  <si>
    <t xml:space="preserve">Fruity PeelerZ Bundle</t>
  </si>
  <si>
    <t xml:space="preserve">3 PeelerZ packs (peach/banana/lychee)</t>
  </si>
  <si>
    <t xml:space="preserve">Spicy Sweet Bundle</t>
  </si>
  <si>
    <t xml:space="preserve">3 PeelerZ packs (chili mango/mango/pineapple)</t>
  </si>
  <si>
    <t xml:space="preserve">PeelerZ Full Collection</t>
  </si>
  <si>
    <t xml:space="preserve">6 PeelerZ flavors</t>
  </si>
  <si>
    <t xml:space="preserve">Amos Peelerz 6-flavor variety pack</t>
  </si>
  <si>
    <t xml:space="preserve">Candy + Haribo Bundle</t>
  </si>
  <si>
    <t xml:space="preserve">3 PeelerZ + Haribo minis</t>
  </si>
  <si>
    <t xml:space="preserve">Peelerz 3-pack + Haribo minis</t>
  </si>
  <si>
    <t xml:space="preserve">Sweet Starter Bundle</t>
  </si>
  <si>
    <t xml:space="preserve">2 PeelerZ + Haribo minis</t>
  </si>
  <si>
    <t xml:space="preserve">Peelerz 2-pack + Haribo minis</t>
  </si>
  <si>
    <t xml:space="preserve">Ultimate Candy Bundle</t>
  </si>
  <si>
    <t xml:space="preserve">6 PeelerZ + 2 Haribo minis</t>
  </si>
  <si>
    <t xml:space="preserve">Peelerz variety + Haribo minis</t>
  </si>
  <si>
    <t xml:space="preserve">Beauty</t>
  </si>
  <si>
    <t xml:space="preserve">Glow-Up Bundle</t>
  </si>
  <si>
    <t xml:space="preserve">Ice roller + eye mask + spa headband</t>
  </si>
  <si>
    <t xml:space="preserve">3-pc self-care skincare set</t>
  </si>
  <si>
    <t xml:space="preserve">Beauty Sleep Bundle</t>
  </si>
  <si>
    <t xml:space="preserve">Silk eye mask + satin bonnet</t>
  </si>
  <si>
    <t xml:space="preserve">Silk mask + satin bonnet set</t>
  </si>
  <si>
    <t xml:space="preserve">Self-Care Starter Bundle</t>
  </si>
  <si>
    <t xml:space="preserve">Spa headband + satin bonnet</t>
  </si>
  <si>
    <t xml:space="preserve">Spa headband + bonnet set</t>
  </si>
  <si>
    <t xml:space="preserve">Ice Roller Duo Bundle</t>
  </si>
  <si>
    <t xml:space="preserve">2 silicone ice rollers</t>
  </si>
  <si>
    <t xml:space="preserve">Ice roller 2-pack</t>
  </si>
  <si>
    <t xml:space="preserve">BFF Beauty Bundle</t>
  </si>
  <si>
    <t xml:space="preserve">Bonnet + sleep mask + headband + ice roller</t>
  </si>
  <si>
    <t xml:space="preserve">4-pc self-care gift set</t>
  </si>
  <si>
    <t xml:space="preserve">Ultimate Beauty Bundle</t>
  </si>
  <si>
    <t xml:space="preserve">2 ice rollers + mask + bonnet + headband</t>
  </si>
  <si>
    <t xml:space="preserve">5-pc beauty gift set</t>
  </si>
  <si>
    <t xml:space="preserve">Hair Clips</t>
  </si>
  <si>
    <t xml:space="preserve">Kawaii Clips Starter Bundle</t>
  </si>
  <si>
    <t xml:space="preserve">Flower + butterfly + mini bow clips</t>
  </si>
  <si>
    <t xml:space="preserve">Kawaii hair clip set</t>
  </si>
  <si>
    <t xml:space="preserve">Ocean Vibes Bundle</t>
  </si>
  <si>
    <t xml:space="preserve">Mermaid + star + flower clips</t>
  </si>
  <si>
    <t xml:space="preserve">Y2K Hair Bundle</t>
  </si>
  <si>
    <t xml:space="preserve">Star + butterfly + mini bow clips</t>
  </si>
  <si>
    <t xml:space="preserve">Y2K hair clip set</t>
  </si>
  <si>
    <t xml:space="preserve">Flower Power Bundle</t>
  </si>
  <si>
    <t xml:space="preserve">Flower + mermaid clips</t>
  </si>
  <si>
    <t xml:space="preserve">Flower hair clip set</t>
  </si>
  <si>
    <t xml:space="preserve">Bow Lover Bundle</t>
  </si>
  <si>
    <t xml:space="preserve">Mini bows (30pc) + butterfly + flower</t>
  </si>
  <si>
    <t xml:space="preserve">Bow clip set (30pc)</t>
  </si>
  <si>
    <t xml:space="preserve">Ultimate Hair Clips Bundle</t>
  </si>
  <si>
    <t xml:space="preserve">All 5 clip styles</t>
  </si>
  <si>
    <t xml:space="preserve">Large mixed hair clip set</t>
  </si>
  <si>
    <t xml:space="preserve">Gift Baskets</t>
  </si>
  <si>
    <t xml:space="preserve">Squishy Lover Basket</t>
  </si>
  <si>
    <t xml:space="preserve">3 squishies + gift basket</t>
  </si>
  <si>
    <t xml:space="preserve">Squishy gift basket</t>
  </si>
  <si>
    <t xml:space="preserve">Candy Lover Basket</t>
  </si>
  <si>
    <t xml:space="preserve">3 PeelerZ + gift basket</t>
  </si>
  <si>
    <t xml:space="preserve">Candy gift basket</t>
  </si>
  <si>
    <t xml:space="preserve">Kawaii BFF Basket</t>
  </si>
  <si>
    <t xml:space="preserve">Squishy + candy + clips + skincare + nail</t>
  </si>
  <si>
    <t xml:space="preserve">Kawaii gift basket set</t>
  </si>
  <si>
    <t xml:space="preserve">Candy Bundle</t>
  </si>
  <si>
    <t xml:space="preserve">6 PeelerZ + Haribo minis</t>
  </si>
  <si>
    <t xml:space="preserve">Peelerz full variety + Haribo</t>
  </si>
  <si>
    <t xml:space="preserve">Squishy Bundle</t>
  </si>
  <si>
    <t xml:space="preserve">All squishies (full range)</t>
  </si>
  <si>
    <t xml:space="preserve">Large squishy variety pack</t>
  </si>
  <si>
    <t xml:space="preserve">Hair Clips Bundle</t>
  </si>
  <si>
    <t xml:space="preserve">Beauty Bundle</t>
  </si>
  <si>
    <t xml:space="preserve">Ice roller + mask + bonnet + headband</t>
  </si>
  <si>
    <t xml:space="preserve">TOTAL / AVG</t>
  </si>
  <si>
    <t xml:space="preserve">Notes</t>
  </si>
  <si>
    <t xml:space="preserve">• 'Comparable Amazon Listing' = a single similar item/set on Amazon, not the exact bundle. Use as a rough market benchmark.</t>
  </si>
  <si>
    <t xml:space="preserve">• Amazon prices are estimates based on current listing ranges (June 2026) and change often — verify before relying on them.</t>
  </si>
  <si>
    <t xml:space="preserve">• Profit ($) = Your Price − Amazon Price.  Margin (%) = Profit ÷ Your Price.</t>
  </si>
  <si>
    <t xml:space="preserve">• Negative profit/margin means the comparable Amazon item is priced higher than your bundle (you're the cheaper option).</t>
  </si>
  <si>
    <t xml:space="preserve">cherry cloud — Bundle Contents (item quantities)</t>
  </si>
  <si>
    <t xml:space="preserve">Exactly what's inside each bundle. 'set' / '30pc' = a multi-piece pack sold as one unit.</t>
  </si>
  <si>
    <t xml:space="preserve">Bundle</t>
  </si>
  <si>
    <t xml:space="preserve">Item</t>
  </si>
  <si>
    <t xml:space="preserve">Qty</t>
  </si>
  <si>
    <t xml:space="preserve">Dumpling squishy</t>
  </si>
  <si>
    <t xml:space="preserve">Total items</t>
  </si>
  <si>
    <t xml:space="preserve">Glitter cube squishy</t>
  </si>
  <si>
    <t xml:space="preserve">Cat paw squishy</t>
  </si>
  <si>
    <t xml:space="preserve">Mystery random squishy</t>
  </si>
  <si>
    <t xml:space="preserve">Random slime</t>
  </si>
  <si>
    <t xml:space="preserve">Donut squishy</t>
  </si>
  <si>
    <t xml:space="preserve">Candy fluff slime</t>
  </si>
  <si>
    <t xml:space="preserve">Mango PeelerZ pack</t>
  </si>
  <si>
    <t xml:space="preserve">Lychee PeelerZ pack</t>
  </si>
  <si>
    <t xml:space="preserve">Pineapple PeelerZ pack</t>
  </si>
  <si>
    <t xml:space="preserve">Peach PeelerZ pack</t>
  </si>
  <si>
    <t xml:space="preserve">Banana PeelerZ pack</t>
  </si>
  <si>
    <t xml:space="preserve">Chili Mango PeelerZ pack</t>
  </si>
  <si>
    <t xml:space="preserve">Haribo gummy mini pack</t>
  </si>
  <si>
    <t xml:space="preserve">Silicone ice roller</t>
  </si>
  <si>
    <t xml:space="preserve">Pink silk eye mask</t>
  </si>
  <si>
    <t xml:space="preserve">Spa headband</t>
  </si>
  <si>
    <t xml:space="preserve">Satin hair bonnet</t>
  </si>
  <si>
    <t xml:space="preserve">Silk sleep mask</t>
  </si>
  <si>
    <t xml:space="preserve">Silk eye mask</t>
  </si>
  <si>
    <t xml:space="preserve">Kawaii flower clips (set)</t>
  </si>
  <si>
    <t xml:space="preserve">Butterfly clip</t>
  </si>
  <si>
    <t xml:space="preserve">Mini bow clips (30pc set)</t>
  </si>
  <si>
    <t xml:space="preserve">Mermaid clips (set)</t>
  </si>
  <si>
    <t xml:space="preserve">Star clips (set)</t>
  </si>
  <si>
    <t xml:space="preserve">Flower clips (set)</t>
  </si>
  <si>
    <t xml:space="preserve">Butterfly clips (set)</t>
  </si>
  <si>
    <t xml:space="preserve">Gift basket</t>
  </si>
  <si>
    <t xml:space="preserve">Assorted squishy</t>
  </si>
  <si>
    <t xml:space="preserve">Assorted candy pack</t>
  </si>
  <si>
    <t xml:space="preserve">Assorted hair clips</t>
  </si>
  <si>
    <t xml:space="preserve">Skincare surprise item</t>
  </si>
  <si>
    <t xml:space="preserve">Mini nail set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</si>
</sst>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\$#,##0.00;&quot;($&quot;#,##0.00\)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7A3F5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3A2A33"/>
      <name val="Arial"/>
      <family val="0"/>
      <charset val="1"/>
    </font>
    <font>
      <b val="true"/>
      <sz val="10"/>
      <color rgb="FF7A3F5E"/>
      <name val="Arial"/>
      <family val="0"/>
      <charset val="1"/>
    </font>
    <font>
      <sz val="10"/>
      <color rgb="FF7A3F5E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E8629A"/>
        <bgColor rgb="FFFF6600"/>
      </patternFill>
    </fill>
    <fill>
      <patternFill patternType="solid">
        <fgColor rgb="FFFFF0F6"/>
        <bgColor rgb="FFFCEFF3"/>
      </patternFill>
    </fill>
    <fill>
      <patternFill patternType="solid">
        <fgColor rgb="FFF7B9CD"/>
        <bgColor rgb="FFF2C9D9"/>
      </patternFill>
    </fill>
    <fill>
      <patternFill patternType="solid">
        <fgColor rgb="FFFFF7FA"/>
        <bgColor rgb="FFFFF0F6"/>
      </patternFill>
    </fill>
    <fill>
      <patternFill patternType="solid">
        <fgColor rgb="FFFFFFFF"/>
        <bgColor rgb="FFFFF7FA"/>
      </patternFill>
    </fill>
    <fill>
      <patternFill patternType="solid">
        <fgColor rgb="FFFCEAF1"/>
        <bgColor rgb="FFF9ECF1"/>
      </patternFill>
    </fill>
    <fill>
      <patternFill patternType="solid">
        <fgColor rgb="FFFCEFF3"/>
        <bgColor rgb="FFFBEDF2"/>
      </patternFill>
    </fill>
    <fill>
      <patternFill patternType="solid">
        <fgColor rgb="FFF7EDF6"/>
        <bgColor rgb="FFF9ECF1"/>
      </patternFill>
    </fill>
    <fill>
      <patternFill patternType="solid">
        <fgColor rgb="FFFBEDF2"/>
        <bgColor rgb="FFF9ECF1"/>
      </patternFill>
    </fill>
    <fill>
      <patternFill patternType="solid">
        <fgColor rgb="FFF9ECF1"/>
        <bgColor rgb="FFFBED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F2C9D9"/>
      </left>
      <right style="thin">
        <color rgb="FFF2C9D9"/>
      </right>
      <top style="thin">
        <color rgb="FFF2C9D9"/>
      </top>
      <bottom style="thin">
        <color rgb="FFF2C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F0F6"/>
      <rgbColor rgb="FF808080"/>
      <rgbColor rgb="FF9999FF"/>
      <rgbColor rgb="FF7A3F5E"/>
      <rgbColor rgb="FFFFF7FA"/>
      <rgbColor rgb="FFF7EDF6"/>
      <rgbColor rgb="FF660066"/>
      <rgbColor rgb="FFE8629A"/>
      <rgbColor rgb="FF0066CC"/>
      <rgbColor rgb="FFFCEA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ECF1"/>
      <rgbColor rgb="FFFCEFF3"/>
      <rgbColor rgb="FFFBEDF2"/>
      <rgbColor rgb="FF99CCFF"/>
      <rgbColor rgb="FFF7B9CD"/>
      <rgbColor rgb="FFCC99FF"/>
      <rgbColor rgb="FFF2C9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A2A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6"/>
    <col collapsed="false" customWidth="true" hidden="false" outlineLevel="0" max="3" min="3" style="1" width="40"/>
    <col collapsed="false" customWidth="true" hidden="false" outlineLevel="0" max="4" min="4" style="1" width="13"/>
    <col collapsed="false" customWidth="true" hidden="false" outlineLevel="0" max="5" min="5" style="1" width="32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11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4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30" hidden="false" customHeight="true" outlineLevel="0" collapsed="false">
      <c r="A4" s="4" t="s">
        <v>2</v>
      </c>
      <c r="B4" s="5" t="s">
        <v>3</v>
      </c>
      <c r="C4" s="5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4" t="s">
        <v>9</v>
      </c>
    </row>
    <row r="5" customFormat="false" ht="15" hidden="false" customHeight="true" outlineLevel="0" collapsed="false">
      <c r="A5" s="6" t="s">
        <v>10</v>
      </c>
      <c r="B5" s="7" t="s">
        <v>11</v>
      </c>
      <c r="C5" s="8" t="s">
        <v>12</v>
      </c>
      <c r="D5" s="9" t="n">
        <v>28.99</v>
      </c>
      <c r="E5" s="8" t="s">
        <v>13</v>
      </c>
      <c r="F5" s="9" t="n">
        <v>13.99</v>
      </c>
      <c r="G5" s="10" t="n">
        <f aca="false">D5-F5</f>
        <v>15</v>
      </c>
      <c r="H5" s="11" t="n">
        <f aca="false">G5/D5</f>
        <v>0.517419799931011</v>
      </c>
    </row>
    <row r="6" customFormat="false" ht="15" hidden="false" customHeight="true" outlineLevel="0" collapsed="false">
      <c r="A6" s="12" t="s">
        <v>10</v>
      </c>
      <c r="B6" s="13" t="s">
        <v>14</v>
      </c>
      <c r="C6" s="14" t="s">
        <v>15</v>
      </c>
      <c r="D6" s="15" t="n">
        <v>36.99</v>
      </c>
      <c r="E6" s="14" t="s">
        <v>16</v>
      </c>
      <c r="F6" s="15" t="n">
        <v>19.99</v>
      </c>
      <c r="G6" s="16" t="n">
        <f aca="false">D6-F6</f>
        <v>17</v>
      </c>
      <c r="H6" s="17" t="n">
        <f aca="false">G6/D6</f>
        <v>0.459583671262503</v>
      </c>
    </row>
    <row r="7" customFormat="false" ht="15" hidden="false" customHeight="true" outlineLevel="0" collapsed="false">
      <c r="A7" s="6" t="s">
        <v>10</v>
      </c>
      <c r="B7" s="7" t="s">
        <v>17</v>
      </c>
      <c r="C7" s="8" t="s">
        <v>18</v>
      </c>
      <c r="D7" s="9" t="n">
        <v>26.99</v>
      </c>
      <c r="E7" s="8" t="s">
        <v>19</v>
      </c>
      <c r="F7" s="9" t="n">
        <v>17.99</v>
      </c>
      <c r="G7" s="10" t="n">
        <f aca="false">D7-F7</f>
        <v>9</v>
      </c>
      <c r="H7" s="11" t="n">
        <f aca="false">G7/D7</f>
        <v>0.333456835865135</v>
      </c>
    </row>
    <row r="8" customFormat="false" ht="15" hidden="false" customHeight="true" outlineLevel="0" collapsed="false">
      <c r="A8" s="12" t="s">
        <v>10</v>
      </c>
      <c r="B8" s="13" t="s">
        <v>20</v>
      </c>
      <c r="C8" s="14" t="s">
        <v>21</v>
      </c>
      <c r="D8" s="15" t="n">
        <v>27.99</v>
      </c>
      <c r="E8" s="14" t="s">
        <v>22</v>
      </c>
      <c r="F8" s="15" t="n">
        <v>16.99</v>
      </c>
      <c r="G8" s="16" t="n">
        <f aca="false">D8-F8</f>
        <v>11</v>
      </c>
      <c r="H8" s="17" t="n">
        <f aca="false">G8/D8</f>
        <v>0.392997499106824</v>
      </c>
    </row>
    <row r="9" customFormat="false" ht="15" hidden="false" customHeight="true" outlineLevel="0" collapsed="false">
      <c r="A9" s="6" t="s">
        <v>10</v>
      </c>
      <c r="B9" s="7" t="s">
        <v>23</v>
      </c>
      <c r="C9" s="8" t="s">
        <v>24</v>
      </c>
      <c r="D9" s="9" t="n">
        <v>19.99</v>
      </c>
      <c r="E9" s="8" t="s">
        <v>25</v>
      </c>
      <c r="F9" s="9" t="n">
        <v>11.99</v>
      </c>
      <c r="G9" s="10" t="n">
        <f aca="false">D9-F9</f>
        <v>8</v>
      </c>
      <c r="H9" s="11" t="n">
        <f aca="false">G9/D9</f>
        <v>0.400200100050025</v>
      </c>
    </row>
    <row r="10" customFormat="false" ht="15" hidden="false" customHeight="true" outlineLevel="0" collapsed="false">
      <c r="A10" s="12" t="s">
        <v>10</v>
      </c>
      <c r="B10" s="13" t="s">
        <v>26</v>
      </c>
      <c r="C10" s="14" t="s">
        <v>27</v>
      </c>
      <c r="D10" s="15" t="n">
        <v>17.99</v>
      </c>
      <c r="E10" s="14" t="s">
        <v>28</v>
      </c>
      <c r="F10" s="15" t="n">
        <v>12.99</v>
      </c>
      <c r="G10" s="16" t="n">
        <f aca="false">D10-F10</f>
        <v>5</v>
      </c>
      <c r="H10" s="17" t="n">
        <f aca="false">G10/D10</f>
        <v>0.27793218454697</v>
      </c>
    </row>
    <row r="11" customFormat="false" ht="15" hidden="false" customHeight="true" outlineLevel="0" collapsed="false">
      <c r="A11" s="6" t="s">
        <v>10</v>
      </c>
      <c r="B11" s="7" t="s">
        <v>29</v>
      </c>
      <c r="C11" s="8" t="s">
        <v>30</v>
      </c>
      <c r="D11" s="9" t="n">
        <v>54.99</v>
      </c>
      <c r="E11" s="8" t="s">
        <v>31</v>
      </c>
      <c r="F11" s="9" t="n">
        <v>24.99</v>
      </c>
      <c r="G11" s="10" t="n">
        <f aca="false">D11-F11</f>
        <v>30</v>
      </c>
      <c r="H11" s="11" t="n">
        <f aca="false">G11/D11</f>
        <v>0.545553737043099</v>
      </c>
    </row>
    <row r="12" customFormat="false" ht="15" hidden="false" customHeight="true" outlineLevel="0" collapsed="false">
      <c r="A12" s="12" t="s">
        <v>32</v>
      </c>
      <c r="B12" s="13" t="s">
        <v>33</v>
      </c>
      <c r="C12" s="14" t="s">
        <v>34</v>
      </c>
      <c r="D12" s="15" t="n">
        <v>12.99</v>
      </c>
      <c r="E12" s="14" t="s">
        <v>35</v>
      </c>
      <c r="F12" s="15" t="n">
        <v>9.99</v>
      </c>
      <c r="G12" s="16" t="n">
        <f aca="false">D12-F12</f>
        <v>3</v>
      </c>
      <c r="H12" s="17" t="n">
        <f aca="false">G12/D12</f>
        <v>0.23094688221709</v>
      </c>
    </row>
    <row r="13" customFormat="false" ht="15" hidden="false" customHeight="true" outlineLevel="0" collapsed="false">
      <c r="A13" s="6" t="s">
        <v>32</v>
      </c>
      <c r="B13" s="7" t="s">
        <v>36</v>
      </c>
      <c r="C13" s="8" t="s">
        <v>37</v>
      </c>
      <c r="D13" s="9" t="n">
        <v>12.99</v>
      </c>
      <c r="E13" s="8" t="s">
        <v>35</v>
      </c>
      <c r="F13" s="9" t="n">
        <v>9.99</v>
      </c>
      <c r="G13" s="10" t="n">
        <f aca="false">D13-F13</f>
        <v>3</v>
      </c>
      <c r="H13" s="11" t="n">
        <f aca="false">G13/D13</f>
        <v>0.23094688221709</v>
      </c>
    </row>
    <row r="14" customFormat="false" ht="15" hidden="false" customHeight="true" outlineLevel="0" collapsed="false">
      <c r="A14" s="12" t="s">
        <v>32</v>
      </c>
      <c r="B14" s="13" t="s">
        <v>38</v>
      </c>
      <c r="C14" s="14" t="s">
        <v>39</v>
      </c>
      <c r="D14" s="15" t="n">
        <v>12.99</v>
      </c>
      <c r="E14" s="14" t="s">
        <v>35</v>
      </c>
      <c r="F14" s="15" t="n">
        <v>9.99</v>
      </c>
      <c r="G14" s="16" t="n">
        <f aca="false">D14-F14</f>
        <v>3</v>
      </c>
      <c r="H14" s="17" t="n">
        <f aca="false">G14/D14</f>
        <v>0.23094688221709</v>
      </c>
    </row>
    <row r="15" customFormat="false" ht="15" hidden="false" customHeight="true" outlineLevel="0" collapsed="false">
      <c r="A15" s="6" t="s">
        <v>32</v>
      </c>
      <c r="B15" s="7" t="s">
        <v>40</v>
      </c>
      <c r="C15" s="8" t="s">
        <v>41</v>
      </c>
      <c r="D15" s="9" t="n">
        <v>24.99</v>
      </c>
      <c r="E15" s="8" t="s">
        <v>42</v>
      </c>
      <c r="F15" s="9" t="n">
        <v>17.99</v>
      </c>
      <c r="G15" s="10" t="n">
        <f aca="false">D15-F15</f>
        <v>7</v>
      </c>
      <c r="H15" s="11" t="n">
        <f aca="false">G15/D15</f>
        <v>0.280112044817927</v>
      </c>
    </row>
    <row r="16" customFormat="false" ht="15" hidden="false" customHeight="true" outlineLevel="0" collapsed="false">
      <c r="A16" s="12" t="s">
        <v>32</v>
      </c>
      <c r="B16" s="13" t="s">
        <v>43</v>
      </c>
      <c r="C16" s="14" t="s">
        <v>44</v>
      </c>
      <c r="D16" s="15" t="n">
        <v>14.99</v>
      </c>
      <c r="E16" s="14" t="s">
        <v>45</v>
      </c>
      <c r="F16" s="15" t="n">
        <v>12.99</v>
      </c>
      <c r="G16" s="16" t="n">
        <f aca="false">D16-F16</f>
        <v>2</v>
      </c>
      <c r="H16" s="17" t="n">
        <f aca="false">G16/D16</f>
        <v>0.133422281521014</v>
      </c>
    </row>
    <row r="17" customFormat="false" ht="15" hidden="false" customHeight="true" outlineLevel="0" collapsed="false">
      <c r="A17" s="6" t="s">
        <v>32</v>
      </c>
      <c r="B17" s="7" t="s">
        <v>46</v>
      </c>
      <c r="C17" s="8" t="s">
        <v>47</v>
      </c>
      <c r="D17" s="9" t="n">
        <v>9.99</v>
      </c>
      <c r="E17" s="8" t="s">
        <v>48</v>
      </c>
      <c r="F17" s="9" t="n">
        <v>8.99</v>
      </c>
      <c r="G17" s="10" t="n">
        <f aca="false">D17-F17</f>
        <v>1</v>
      </c>
      <c r="H17" s="11" t="n">
        <f aca="false">G17/D17</f>
        <v>0.1001001001001</v>
      </c>
    </row>
    <row r="18" customFormat="false" ht="15" hidden="false" customHeight="true" outlineLevel="0" collapsed="false">
      <c r="A18" s="12" t="s">
        <v>32</v>
      </c>
      <c r="B18" s="13" t="s">
        <v>49</v>
      </c>
      <c r="C18" s="14" t="s">
        <v>50</v>
      </c>
      <c r="D18" s="15" t="n">
        <v>29.99</v>
      </c>
      <c r="E18" s="14" t="s">
        <v>51</v>
      </c>
      <c r="F18" s="15" t="n">
        <v>21.99</v>
      </c>
      <c r="G18" s="16" t="n">
        <f aca="false">D18-F18</f>
        <v>8</v>
      </c>
      <c r="H18" s="17" t="n">
        <f aca="false">G18/D18</f>
        <v>0.266755585195065</v>
      </c>
    </row>
    <row r="19" customFormat="false" ht="15" hidden="false" customHeight="true" outlineLevel="0" collapsed="false">
      <c r="A19" s="6" t="s">
        <v>52</v>
      </c>
      <c r="B19" s="7" t="s">
        <v>53</v>
      </c>
      <c r="C19" s="8" t="s">
        <v>54</v>
      </c>
      <c r="D19" s="9" t="n">
        <v>19.99</v>
      </c>
      <c r="E19" s="8" t="s">
        <v>55</v>
      </c>
      <c r="F19" s="9" t="n">
        <v>16.99</v>
      </c>
      <c r="G19" s="10" t="n">
        <f aca="false">D19-F19</f>
        <v>3</v>
      </c>
      <c r="H19" s="11" t="n">
        <f aca="false">G19/D19</f>
        <v>0.150075037518759</v>
      </c>
    </row>
    <row r="20" customFormat="false" ht="15" hidden="false" customHeight="true" outlineLevel="0" collapsed="false">
      <c r="A20" s="12" t="s">
        <v>52</v>
      </c>
      <c r="B20" s="13" t="s">
        <v>56</v>
      </c>
      <c r="C20" s="14" t="s">
        <v>57</v>
      </c>
      <c r="D20" s="15" t="n">
        <v>14.99</v>
      </c>
      <c r="E20" s="14" t="s">
        <v>58</v>
      </c>
      <c r="F20" s="15" t="n">
        <v>11.99</v>
      </c>
      <c r="G20" s="16" t="n">
        <f aca="false">D20-F20</f>
        <v>3</v>
      </c>
      <c r="H20" s="17" t="n">
        <f aca="false">G20/D20</f>
        <v>0.200133422281521</v>
      </c>
    </row>
    <row r="21" customFormat="false" ht="15" hidden="false" customHeight="true" outlineLevel="0" collapsed="false">
      <c r="A21" s="6" t="s">
        <v>52</v>
      </c>
      <c r="B21" s="7" t="s">
        <v>59</v>
      </c>
      <c r="C21" s="8" t="s">
        <v>60</v>
      </c>
      <c r="D21" s="9" t="n">
        <v>12.99</v>
      </c>
      <c r="E21" s="8" t="s">
        <v>61</v>
      </c>
      <c r="F21" s="9" t="n">
        <v>9.99</v>
      </c>
      <c r="G21" s="10" t="n">
        <f aca="false">D21-F21</f>
        <v>3</v>
      </c>
      <c r="H21" s="11" t="n">
        <f aca="false">G21/D21</f>
        <v>0.23094688221709</v>
      </c>
    </row>
    <row r="22" customFormat="false" ht="15" hidden="false" customHeight="true" outlineLevel="0" collapsed="false">
      <c r="A22" s="12" t="s">
        <v>52</v>
      </c>
      <c r="B22" s="13" t="s">
        <v>62</v>
      </c>
      <c r="C22" s="14" t="s">
        <v>63</v>
      </c>
      <c r="D22" s="15" t="n">
        <v>12.99</v>
      </c>
      <c r="E22" s="14" t="s">
        <v>64</v>
      </c>
      <c r="F22" s="15" t="n">
        <v>15.99</v>
      </c>
      <c r="G22" s="16" t="n">
        <f aca="false">D22-F22</f>
        <v>-3</v>
      </c>
      <c r="H22" s="17" t="n">
        <f aca="false">G22/D22</f>
        <v>-0.23094688221709</v>
      </c>
    </row>
    <row r="23" customFormat="false" ht="15" hidden="false" customHeight="true" outlineLevel="0" collapsed="false">
      <c r="A23" s="6" t="s">
        <v>52</v>
      </c>
      <c r="B23" s="7" t="s">
        <v>65</v>
      </c>
      <c r="C23" s="8" t="s">
        <v>66</v>
      </c>
      <c r="D23" s="9" t="n">
        <v>24.99</v>
      </c>
      <c r="E23" s="8" t="s">
        <v>67</v>
      </c>
      <c r="F23" s="9" t="n">
        <v>19.99</v>
      </c>
      <c r="G23" s="10" t="n">
        <f aca="false">D23-F23</f>
        <v>5</v>
      </c>
      <c r="H23" s="11" t="n">
        <f aca="false">G23/D23</f>
        <v>0.200080032012805</v>
      </c>
    </row>
    <row r="24" customFormat="false" ht="15" hidden="false" customHeight="true" outlineLevel="0" collapsed="false">
      <c r="A24" s="12" t="s">
        <v>52</v>
      </c>
      <c r="B24" s="13" t="s">
        <v>68</v>
      </c>
      <c r="C24" s="14" t="s">
        <v>69</v>
      </c>
      <c r="D24" s="15" t="n">
        <v>34.99</v>
      </c>
      <c r="E24" s="14" t="s">
        <v>70</v>
      </c>
      <c r="F24" s="15" t="n">
        <v>24.99</v>
      </c>
      <c r="G24" s="16" t="n">
        <f aca="false">D24-F24</f>
        <v>10</v>
      </c>
      <c r="H24" s="17" t="n">
        <f aca="false">G24/D24</f>
        <v>0.285795941697628</v>
      </c>
    </row>
    <row r="25" customFormat="false" ht="15" hidden="false" customHeight="true" outlineLevel="0" collapsed="false">
      <c r="A25" s="6" t="s">
        <v>71</v>
      </c>
      <c r="B25" s="7" t="s">
        <v>72</v>
      </c>
      <c r="C25" s="8" t="s">
        <v>73</v>
      </c>
      <c r="D25" s="9" t="n">
        <v>14.99</v>
      </c>
      <c r="E25" s="8" t="s">
        <v>74</v>
      </c>
      <c r="F25" s="9" t="n">
        <v>9.99</v>
      </c>
      <c r="G25" s="10" t="n">
        <f aca="false">D25-F25</f>
        <v>5</v>
      </c>
      <c r="H25" s="11" t="n">
        <f aca="false">G25/D25</f>
        <v>0.333555703802535</v>
      </c>
    </row>
    <row r="26" customFormat="false" ht="15" hidden="false" customHeight="true" outlineLevel="0" collapsed="false">
      <c r="A26" s="12" t="s">
        <v>71</v>
      </c>
      <c r="B26" s="13" t="s">
        <v>75</v>
      </c>
      <c r="C26" s="14" t="s">
        <v>76</v>
      </c>
      <c r="D26" s="15" t="n">
        <v>15.99</v>
      </c>
      <c r="E26" s="14" t="s">
        <v>74</v>
      </c>
      <c r="F26" s="15" t="n">
        <v>10.99</v>
      </c>
      <c r="G26" s="16" t="n">
        <f aca="false">D26-F26</f>
        <v>5</v>
      </c>
      <c r="H26" s="17" t="n">
        <f aca="false">G26/D26</f>
        <v>0.312695434646654</v>
      </c>
    </row>
    <row r="27" customFormat="false" ht="15" hidden="false" customHeight="true" outlineLevel="0" collapsed="false">
      <c r="A27" s="6" t="s">
        <v>71</v>
      </c>
      <c r="B27" s="7" t="s">
        <v>77</v>
      </c>
      <c r="C27" s="8" t="s">
        <v>78</v>
      </c>
      <c r="D27" s="9" t="n">
        <v>13.99</v>
      </c>
      <c r="E27" s="8" t="s">
        <v>79</v>
      </c>
      <c r="F27" s="9" t="n">
        <v>9.99</v>
      </c>
      <c r="G27" s="10" t="n">
        <f aca="false">D27-F27</f>
        <v>4</v>
      </c>
      <c r="H27" s="11" t="n">
        <f aca="false">G27/D27</f>
        <v>0.285918513223731</v>
      </c>
    </row>
    <row r="28" customFormat="false" ht="15" hidden="false" customHeight="true" outlineLevel="0" collapsed="false">
      <c r="A28" s="12" t="s">
        <v>71</v>
      </c>
      <c r="B28" s="13" t="s">
        <v>80</v>
      </c>
      <c r="C28" s="14" t="s">
        <v>81</v>
      </c>
      <c r="D28" s="15" t="n">
        <v>11.99</v>
      </c>
      <c r="E28" s="14" t="s">
        <v>82</v>
      </c>
      <c r="F28" s="15" t="n">
        <v>8.99</v>
      </c>
      <c r="G28" s="16" t="n">
        <f aca="false">D28-F28</f>
        <v>3</v>
      </c>
      <c r="H28" s="17" t="n">
        <f aca="false">G28/D28</f>
        <v>0.250208507089241</v>
      </c>
    </row>
    <row r="29" customFormat="false" ht="15" hidden="false" customHeight="true" outlineLevel="0" collapsed="false">
      <c r="A29" s="6" t="s">
        <v>71</v>
      </c>
      <c r="B29" s="7" t="s">
        <v>83</v>
      </c>
      <c r="C29" s="8" t="s">
        <v>84</v>
      </c>
      <c r="D29" s="9" t="n">
        <v>11.99</v>
      </c>
      <c r="E29" s="8" t="s">
        <v>85</v>
      </c>
      <c r="F29" s="9" t="n">
        <v>9.99</v>
      </c>
      <c r="G29" s="10" t="n">
        <f aca="false">D29-F29</f>
        <v>2</v>
      </c>
      <c r="H29" s="11" t="n">
        <f aca="false">G29/D29</f>
        <v>0.166805671392827</v>
      </c>
    </row>
    <row r="30" customFormat="false" ht="15" hidden="false" customHeight="true" outlineLevel="0" collapsed="false">
      <c r="A30" s="12" t="s">
        <v>71</v>
      </c>
      <c r="B30" s="13" t="s">
        <v>86</v>
      </c>
      <c r="C30" s="14" t="s">
        <v>87</v>
      </c>
      <c r="D30" s="15" t="n">
        <v>34.99</v>
      </c>
      <c r="E30" s="14" t="s">
        <v>88</v>
      </c>
      <c r="F30" s="15" t="n">
        <v>14.99</v>
      </c>
      <c r="G30" s="16" t="n">
        <f aca="false">D30-F30</f>
        <v>20</v>
      </c>
      <c r="H30" s="17" t="n">
        <f aca="false">G30/D30</f>
        <v>0.571591883395256</v>
      </c>
    </row>
    <row r="31" customFormat="false" ht="15" hidden="false" customHeight="true" outlineLevel="0" collapsed="false">
      <c r="A31" s="6" t="s">
        <v>89</v>
      </c>
      <c r="B31" s="7" t="s">
        <v>90</v>
      </c>
      <c r="C31" s="8" t="s">
        <v>91</v>
      </c>
      <c r="D31" s="9" t="n">
        <v>19.99</v>
      </c>
      <c r="E31" s="8" t="s">
        <v>92</v>
      </c>
      <c r="F31" s="9" t="n">
        <v>15.99</v>
      </c>
      <c r="G31" s="10" t="n">
        <f aca="false">D31-F31</f>
        <v>4</v>
      </c>
      <c r="H31" s="11" t="n">
        <f aca="false">G31/D31</f>
        <v>0.200100050025012</v>
      </c>
    </row>
    <row r="32" customFormat="false" ht="15" hidden="false" customHeight="true" outlineLevel="0" collapsed="false">
      <c r="A32" s="12" t="s">
        <v>89</v>
      </c>
      <c r="B32" s="13" t="s">
        <v>93</v>
      </c>
      <c r="C32" s="14" t="s">
        <v>94</v>
      </c>
      <c r="D32" s="15" t="n">
        <v>14.99</v>
      </c>
      <c r="E32" s="14" t="s">
        <v>95</v>
      </c>
      <c r="F32" s="15" t="n">
        <v>12.99</v>
      </c>
      <c r="G32" s="16" t="n">
        <f aca="false">D32-F32</f>
        <v>2</v>
      </c>
      <c r="H32" s="17" t="n">
        <f aca="false">G32/D32</f>
        <v>0.133422281521014</v>
      </c>
    </row>
    <row r="33" customFormat="false" ht="15" hidden="false" customHeight="true" outlineLevel="0" collapsed="false">
      <c r="A33" s="6" t="s">
        <v>89</v>
      </c>
      <c r="B33" s="7" t="s">
        <v>96</v>
      </c>
      <c r="C33" s="8" t="s">
        <v>97</v>
      </c>
      <c r="D33" s="9" t="n">
        <v>29.99</v>
      </c>
      <c r="E33" s="8" t="s">
        <v>98</v>
      </c>
      <c r="F33" s="9" t="n">
        <v>22.99</v>
      </c>
      <c r="G33" s="10" t="n">
        <f aca="false">D33-F33</f>
        <v>7</v>
      </c>
      <c r="H33" s="11" t="n">
        <f aca="false">G33/D33</f>
        <v>0.233411137045682</v>
      </c>
    </row>
    <row r="34" customFormat="false" ht="15" hidden="false" customHeight="true" outlineLevel="0" collapsed="false">
      <c r="A34" s="12" t="s">
        <v>89</v>
      </c>
      <c r="B34" s="13" t="s">
        <v>99</v>
      </c>
      <c r="C34" s="14" t="s">
        <v>100</v>
      </c>
      <c r="D34" s="15" t="n">
        <v>29.99</v>
      </c>
      <c r="E34" s="14" t="s">
        <v>101</v>
      </c>
      <c r="F34" s="15" t="n">
        <v>19.99</v>
      </c>
      <c r="G34" s="16" t="n">
        <f aca="false">D34-F34</f>
        <v>10</v>
      </c>
      <c r="H34" s="17" t="n">
        <f aca="false">G34/D34</f>
        <v>0.333444481493831</v>
      </c>
    </row>
    <row r="35" customFormat="false" ht="15" hidden="false" customHeight="true" outlineLevel="0" collapsed="false">
      <c r="A35" s="6" t="s">
        <v>89</v>
      </c>
      <c r="B35" s="7" t="s">
        <v>102</v>
      </c>
      <c r="C35" s="8" t="s">
        <v>103</v>
      </c>
      <c r="D35" s="9" t="n">
        <v>39.99</v>
      </c>
      <c r="E35" s="8" t="s">
        <v>104</v>
      </c>
      <c r="F35" s="9" t="n">
        <v>24.99</v>
      </c>
      <c r="G35" s="10" t="n">
        <f aca="false">D35-F35</f>
        <v>15</v>
      </c>
      <c r="H35" s="11" t="n">
        <f aca="false">G35/D35</f>
        <v>0.375093773443361</v>
      </c>
    </row>
    <row r="36" customFormat="false" ht="15" hidden="false" customHeight="true" outlineLevel="0" collapsed="false">
      <c r="A36" s="12" t="s">
        <v>89</v>
      </c>
      <c r="B36" s="13" t="s">
        <v>105</v>
      </c>
      <c r="C36" s="14" t="s">
        <v>87</v>
      </c>
      <c r="D36" s="15" t="n">
        <v>29.99</v>
      </c>
      <c r="E36" s="14" t="s">
        <v>88</v>
      </c>
      <c r="F36" s="15" t="n">
        <v>14.99</v>
      </c>
      <c r="G36" s="16" t="n">
        <f aca="false">D36-F36</f>
        <v>15</v>
      </c>
      <c r="H36" s="17" t="n">
        <f aca="false">G36/D36</f>
        <v>0.500166722240747</v>
      </c>
    </row>
    <row r="37" customFormat="false" ht="15" hidden="false" customHeight="true" outlineLevel="0" collapsed="false">
      <c r="A37" s="6" t="s">
        <v>89</v>
      </c>
      <c r="B37" s="7" t="s">
        <v>106</v>
      </c>
      <c r="C37" s="8" t="s">
        <v>107</v>
      </c>
      <c r="D37" s="9" t="n">
        <v>34.99</v>
      </c>
      <c r="E37" s="8" t="s">
        <v>67</v>
      </c>
      <c r="F37" s="9" t="n">
        <v>22.99</v>
      </c>
      <c r="G37" s="10" t="n">
        <f aca="false">D37-F37</f>
        <v>12</v>
      </c>
      <c r="H37" s="11" t="n">
        <f aca="false">G37/D37</f>
        <v>0.342955130037154</v>
      </c>
    </row>
    <row r="38" customFormat="false" ht="15" hidden="false" customHeight="true" outlineLevel="0" collapsed="false">
      <c r="A38" s="18" t="s">
        <v>108</v>
      </c>
      <c r="B38" s="18"/>
      <c r="C38" s="18"/>
      <c r="D38" s="19" t="n">
        <f aca="false">SUM(D5:D37)</f>
        <v>757.67</v>
      </c>
      <c r="E38" s="20"/>
      <c r="F38" s="19" t="n">
        <f aca="false">SUM(F5:F37)</f>
        <v>510.67</v>
      </c>
      <c r="G38" s="21" t="n">
        <f aca="false">SUM(G5:G37)</f>
        <v>247</v>
      </c>
      <c r="H38" s="22" t="n">
        <f aca="false">G38/D38</f>
        <v>0.325999445668959</v>
      </c>
    </row>
    <row r="40" customFormat="false" ht="15" hidden="false" customHeight="true" outlineLevel="0" collapsed="false">
      <c r="A40" s="23" t="s">
        <v>109</v>
      </c>
      <c r="B40" s="23"/>
      <c r="C40" s="23"/>
      <c r="D40" s="23"/>
      <c r="E40" s="23"/>
      <c r="F40" s="23"/>
      <c r="G40" s="23"/>
      <c r="H40" s="23"/>
    </row>
    <row r="41" customFormat="false" ht="15" hidden="false" customHeight="true" outlineLevel="0" collapsed="false">
      <c r="A41" s="24" t="s">
        <v>110</v>
      </c>
      <c r="B41" s="24"/>
      <c r="C41" s="24"/>
      <c r="D41" s="24"/>
      <c r="E41" s="24"/>
      <c r="F41" s="24"/>
      <c r="G41" s="24"/>
      <c r="H41" s="24"/>
    </row>
    <row r="42" customFormat="false" ht="15" hidden="false" customHeight="true" outlineLevel="0" collapsed="false">
      <c r="A42" s="24" t="s">
        <v>111</v>
      </c>
      <c r="B42" s="24"/>
      <c r="C42" s="24"/>
      <c r="D42" s="24"/>
      <c r="E42" s="24"/>
      <c r="F42" s="24"/>
      <c r="G42" s="24"/>
      <c r="H42" s="24"/>
    </row>
    <row r="43" customFormat="false" ht="15" hidden="false" customHeight="true" outlineLevel="0" collapsed="false">
      <c r="A43" s="24" t="s">
        <v>112</v>
      </c>
      <c r="B43" s="24"/>
      <c r="C43" s="24"/>
      <c r="D43" s="24"/>
      <c r="E43" s="24"/>
      <c r="F43" s="24"/>
      <c r="G43" s="24"/>
      <c r="H43" s="24"/>
    </row>
    <row r="44" customFormat="false" ht="15" hidden="false" customHeight="true" outlineLevel="0" collapsed="false">
      <c r="A44" s="24" t="s">
        <v>113</v>
      </c>
      <c r="B44" s="24"/>
      <c r="C44" s="24"/>
      <c r="D44" s="24"/>
      <c r="E44" s="24"/>
      <c r="F44" s="24"/>
      <c r="G44" s="24"/>
      <c r="H44" s="24"/>
    </row>
  </sheetData>
  <mergeCells count="8">
    <mergeCell ref="A1:H1"/>
    <mergeCell ref="A2:H2"/>
    <mergeCell ref="A38:C38"/>
    <mergeCell ref="A40:H40"/>
    <mergeCell ref="A41:H41"/>
    <mergeCell ref="A42:H42"/>
    <mergeCell ref="A43:H43"/>
    <mergeCell ref="A44:H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7"/>
  </cols>
  <sheetData>
    <row r="1" customFormat="false" ht="27.75" hidden="false" customHeight="true" outlineLevel="0" collapsed="false">
      <c r="A1" s="25" t="s">
        <v>114</v>
      </c>
      <c r="B1" s="25"/>
      <c r="C1" s="25"/>
      <c r="D1" s="25"/>
    </row>
    <row r="2" customFormat="false" ht="19.5" hidden="false" customHeight="true" outlineLevel="0" collapsed="false">
      <c r="A2" s="3" t="s">
        <v>115</v>
      </c>
      <c r="B2" s="3"/>
      <c r="C2" s="3"/>
      <c r="D2" s="3"/>
    </row>
    <row r="4" customFormat="false" ht="24" hidden="false" customHeight="true" outlineLevel="0" collapsed="false">
      <c r="A4" s="4" t="s">
        <v>2</v>
      </c>
      <c r="B4" s="5" t="s">
        <v>116</v>
      </c>
      <c r="C4" s="5" t="s">
        <v>117</v>
      </c>
      <c r="D4" s="4" t="s">
        <v>118</v>
      </c>
    </row>
    <row r="5" customFormat="false" ht="15" hidden="false" customHeight="false" outlineLevel="0" collapsed="false">
      <c r="A5" s="26" t="s">
        <v>10</v>
      </c>
      <c r="B5" s="27" t="s">
        <v>11</v>
      </c>
      <c r="C5" s="28" t="s">
        <v>119</v>
      </c>
      <c r="D5" s="29" t="n">
        <v>2</v>
      </c>
    </row>
    <row r="6" customFormat="false" ht="15" hidden="false" customHeight="false" outlineLevel="0" collapsed="false">
      <c r="A6" s="30"/>
      <c r="B6" s="31" t="s">
        <v>120</v>
      </c>
      <c r="C6" s="31"/>
      <c r="D6" s="32" t="n">
        <f aca="false">SUM(D5)</f>
        <v>2</v>
      </c>
    </row>
    <row r="7" customFormat="false" ht="15" hidden="false" customHeight="true" outlineLevel="0" collapsed="false">
      <c r="A7" s="33" t="s">
        <v>10</v>
      </c>
      <c r="B7" s="34" t="s">
        <v>14</v>
      </c>
      <c r="C7" s="28" t="s">
        <v>119</v>
      </c>
      <c r="D7" s="29" t="n">
        <v>1</v>
      </c>
    </row>
    <row r="8" customFormat="false" ht="15" hidden="false" customHeight="false" outlineLevel="0" collapsed="false">
      <c r="A8" s="33"/>
      <c r="B8" s="33"/>
      <c r="C8" s="28" t="s">
        <v>121</v>
      </c>
      <c r="D8" s="29" t="n">
        <v>5</v>
      </c>
    </row>
    <row r="9" customFormat="false" ht="15" hidden="false" customHeight="false" outlineLevel="0" collapsed="false">
      <c r="A9" s="33"/>
      <c r="B9" s="33"/>
      <c r="C9" s="28" t="s">
        <v>122</v>
      </c>
      <c r="D9" s="29" t="n">
        <v>4</v>
      </c>
    </row>
    <row r="10" customFormat="false" ht="15" hidden="false" customHeight="false" outlineLevel="0" collapsed="false">
      <c r="A10" s="30"/>
      <c r="B10" s="31" t="s">
        <v>120</v>
      </c>
      <c r="C10" s="31"/>
      <c r="D10" s="32" t="n">
        <f aca="false">SUM(D7:D9)</f>
        <v>10</v>
      </c>
    </row>
    <row r="11" customFormat="false" ht="15" hidden="false" customHeight="false" outlineLevel="0" collapsed="false">
      <c r="A11" s="26" t="s">
        <v>10</v>
      </c>
      <c r="B11" s="27" t="s">
        <v>17</v>
      </c>
      <c r="C11" s="28" t="s">
        <v>119</v>
      </c>
      <c r="D11" s="29" t="n">
        <v>3</v>
      </c>
    </row>
    <row r="12" customFormat="false" ht="15" hidden="false" customHeight="false" outlineLevel="0" collapsed="false">
      <c r="A12" s="30"/>
      <c r="B12" s="31" t="s">
        <v>120</v>
      </c>
      <c r="C12" s="31"/>
      <c r="D12" s="32" t="n">
        <f aca="false">SUM(D11)</f>
        <v>3</v>
      </c>
    </row>
    <row r="13" customFormat="false" ht="15" hidden="false" customHeight="true" outlineLevel="0" collapsed="false">
      <c r="A13" s="33" t="s">
        <v>10</v>
      </c>
      <c r="B13" s="34" t="s">
        <v>20</v>
      </c>
      <c r="C13" s="28" t="s">
        <v>122</v>
      </c>
      <c r="D13" s="29" t="n">
        <v>4</v>
      </c>
    </row>
    <row r="14" customFormat="false" ht="15" hidden="false" customHeight="false" outlineLevel="0" collapsed="false">
      <c r="A14" s="33"/>
      <c r="B14" s="33"/>
      <c r="C14" s="28" t="s">
        <v>123</v>
      </c>
      <c r="D14" s="29" t="n">
        <v>1</v>
      </c>
    </row>
    <row r="15" customFormat="false" ht="15" hidden="false" customHeight="false" outlineLevel="0" collapsed="false">
      <c r="A15" s="33"/>
      <c r="B15" s="33"/>
      <c r="C15" s="28" t="s">
        <v>124</v>
      </c>
      <c r="D15" s="29" t="n">
        <v>1</v>
      </c>
    </row>
    <row r="16" customFormat="false" ht="15" hidden="false" customHeight="false" outlineLevel="0" collapsed="false">
      <c r="A16" s="30"/>
      <c r="B16" s="31" t="s">
        <v>120</v>
      </c>
      <c r="C16" s="31"/>
      <c r="D16" s="32" t="n">
        <f aca="false">SUM(D13:D15)</f>
        <v>6</v>
      </c>
    </row>
    <row r="17" customFormat="false" ht="15" hidden="false" customHeight="true" outlineLevel="0" collapsed="false">
      <c r="A17" s="33" t="s">
        <v>10</v>
      </c>
      <c r="B17" s="34" t="s">
        <v>23</v>
      </c>
      <c r="C17" s="28" t="s">
        <v>125</v>
      </c>
      <c r="D17" s="29" t="n">
        <v>1</v>
      </c>
    </row>
    <row r="18" customFormat="false" ht="15" hidden="false" customHeight="false" outlineLevel="0" collapsed="false">
      <c r="A18" s="33"/>
      <c r="B18" s="33"/>
      <c r="C18" s="28" t="s">
        <v>126</v>
      </c>
      <c r="D18" s="29" t="n">
        <v>1</v>
      </c>
    </row>
    <row r="19" customFormat="false" ht="15" hidden="false" customHeight="false" outlineLevel="0" collapsed="false">
      <c r="A19" s="30"/>
      <c r="B19" s="31" t="s">
        <v>120</v>
      </c>
      <c r="C19" s="31"/>
      <c r="D19" s="32" t="n">
        <f aca="false">SUM(D17:D18)</f>
        <v>2</v>
      </c>
    </row>
    <row r="20" customFormat="false" ht="15" hidden="false" customHeight="false" outlineLevel="0" collapsed="false">
      <c r="A20" s="26" t="s">
        <v>10</v>
      </c>
      <c r="B20" s="27" t="s">
        <v>26</v>
      </c>
      <c r="C20" s="28" t="s">
        <v>126</v>
      </c>
      <c r="D20" s="29" t="n">
        <v>3</v>
      </c>
    </row>
    <row r="21" customFormat="false" ht="15" hidden="false" customHeight="false" outlineLevel="0" collapsed="false">
      <c r="A21" s="30"/>
      <c r="B21" s="31" t="s">
        <v>120</v>
      </c>
      <c r="C21" s="31"/>
      <c r="D21" s="32" t="n">
        <f aca="false">SUM(D20)</f>
        <v>3</v>
      </c>
    </row>
    <row r="22" customFormat="false" ht="15" hidden="false" customHeight="true" outlineLevel="0" collapsed="false">
      <c r="A22" s="33" t="s">
        <v>10</v>
      </c>
      <c r="B22" s="34" t="s">
        <v>29</v>
      </c>
      <c r="C22" s="28" t="s">
        <v>119</v>
      </c>
      <c r="D22" s="29" t="n">
        <v>3</v>
      </c>
    </row>
    <row r="23" customFormat="false" ht="15" hidden="false" customHeight="false" outlineLevel="0" collapsed="false">
      <c r="A23" s="33"/>
      <c r="B23" s="33"/>
      <c r="C23" s="28" t="s">
        <v>121</v>
      </c>
      <c r="D23" s="29" t="n">
        <v>5</v>
      </c>
    </row>
    <row r="24" customFormat="false" ht="15" hidden="false" customHeight="false" outlineLevel="0" collapsed="false">
      <c r="A24" s="33"/>
      <c r="B24" s="33"/>
      <c r="C24" s="28" t="s">
        <v>122</v>
      </c>
      <c r="D24" s="29" t="n">
        <v>4</v>
      </c>
    </row>
    <row r="25" customFormat="false" ht="15" hidden="false" customHeight="false" outlineLevel="0" collapsed="false">
      <c r="A25" s="33"/>
      <c r="B25" s="33"/>
      <c r="C25" s="28" t="s">
        <v>125</v>
      </c>
      <c r="D25" s="29" t="n">
        <v>1</v>
      </c>
    </row>
    <row r="26" customFormat="false" ht="15" hidden="false" customHeight="false" outlineLevel="0" collapsed="false">
      <c r="A26" s="33"/>
      <c r="B26" s="33"/>
      <c r="C26" s="28" t="s">
        <v>126</v>
      </c>
      <c r="D26" s="29" t="n">
        <v>1</v>
      </c>
    </row>
    <row r="27" customFormat="false" ht="15" hidden="false" customHeight="false" outlineLevel="0" collapsed="false">
      <c r="A27" s="30"/>
      <c r="B27" s="31" t="s">
        <v>120</v>
      </c>
      <c r="C27" s="31"/>
      <c r="D27" s="32" t="n">
        <f aca="false">SUM(D22:D26)</f>
        <v>14</v>
      </c>
    </row>
    <row r="28" customFormat="false" ht="15" hidden="false" customHeight="true" outlineLevel="0" collapsed="false">
      <c r="A28" s="35" t="s">
        <v>32</v>
      </c>
      <c r="B28" s="36" t="s">
        <v>33</v>
      </c>
      <c r="C28" s="37" t="s">
        <v>127</v>
      </c>
      <c r="D28" s="38" t="n">
        <v>1</v>
      </c>
    </row>
    <row r="29" customFormat="false" ht="15" hidden="false" customHeight="false" outlineLevel="0" collapsed="false">
      <c r="A29" s="35"/>
      <c r="B29" s="35"/>
      <c r="C29" s="37" t="s">
        <v>128</v>
      </c>
      <c r="D29" s="38" t="n">
        <v>1</v>
      </c>
    </row>
    <row r="30" customFormat="false" ht="15" hidden="false" customHeight="false" outlineLevel="0" collapsed="false">
      <c r="A30" s="35"/>
      <c r="B30" s="35"/>
      <c r="C30" s="37" t="s">
        <v>129</v>
      </c>
      <c r="D30" s="38" t="n">
        <v>1</v>
      </c>
    </row>
    <row r="31" customFormat="false" ht="15" hidden="false" customHeight="false" outlineLevel="0" collapsed="false">
      <c r="A31" s="30"/>
      <c r="B31" s="31" t="s">
        <v>120</v>
      </c>
      <c r="C31" s="31"/>
      <c r="D31" s="32" t="n">
        <f aca="false">SUM(D28:D30)</f>
        <v>3</v>
      </c>
    </row>
    <row r="32" customFormat="false" ht="15" hidden="false" customHeight="true" outlineLevel="0" collapsed="false">
      <c r="A32" s="35" t="s">
        <v>32</v>
      </c>
      <c r="B32" s="36" t="s">
        <v>36</v>
      </c>
      <c r="C32" s="37" t="s">
        <v>130</v>
      </c>
      <c r="D32" s="38" t="n">
        <v>1</v>
      </c>
    </row>
    <row r="33" customFormat="false" ht="15" hidden="false" customHeight="false" outlineLevel="0" collapsed="false">
      <c r="A33" s="35"/>
      <c r="B33" s="35"/>
      <c r="C33" s="37" t="s">
        <v>131</v>
      </c>
      <c r="D33" s="38" t="n">
        <v>1</v>
      </c>
    </row>
    <row r="34" customFormat="false" ht="15" hidden="false" customHeight="false" outlineLevel="0" collapsed="false">
      <c r="A34" s="35"/>
      <c r="B34" s="35"/>
      <c r="C34" s="37" t="s">
        <v>128</v>
      </c>
      <c r="D34" s="38" t="n">
        <v>1</v>
      </c>
    </row>
    <row r="35" customFormat="false" ht="15" hidden="false" customHeight="false" outlineLevel="0" collapsed="false">
      <c r="A35" s="30"/>
      <c r="B35" s="31" t="s">
        <v>120</v>
      </c>
      <c r="C35" s="31"/>
      <c r="D35" s="32" t="n">
        <f aca="false">SUM(D32:D34)</f>
        <v>3</v>
      </c>
    </row>
    <row r="36" customFormat="false" ht="15" hidden="false" customHeight="true" outlineLevel="0" collapsed="false">
      <c r="A36" s="35" t="s">
        <v>32</v>
      </c>
      <c r="B36" s="36" t="s">
        <v>38</v>
      </c>
      <c r="C36" s="37" t="s">
        <v>132</v>
      </c>
      <c r="D36" s="38" t="n">
        <v>1</v>
      </c>
    </row>
    <row r="37" customFormat="false" ht="15" hidden="false" customHeight="false" outlineLevel="0" collapsed="false">
      <c r="A37" s="35"/>
      <c r="B37" s="35"/>
      <c r="C37" s="37" t="s">
        <v>127</v>
      </c>
      <c r="D37" s="38" t="n">
        <v>1</v>
      </c>
    </row>
    <row r="38" customFormat="false" ht="15" hidden="false" customHeight="false" outlineLevel="0" collapsed="false">
      <c r="A38" s="35"/>
      <c r="B38" s="35"/>
      <c r="C38" s="37" t="s">
        <v>129</v>
      </c>
      <c r="D38" s="38" t="n">
        <v>1</v>
      </c>
    </row>
    <row r="39" customFormat="false" ht="15" hidden="false" customHeight="false" outlineLevel="0" collapsed="false">
      <c r="A39" s="30"/>
      <c r="B39" s="31" t="s">
        <v>120</v>
      </c>
      <c r="C39" s="31"/>
      <c r="D39" s="32" t="n">
        <f aca="false">SUM(D36:D38)</f>
        <v>3</v>
      </c>
    </row>
    <row r="40" customFormat="false" ht="15" hidden="false" customHeight="true" outlineLevel="0" collapsed="false">
      <c r="A40" s="35" t="s">
        <v>32</v>
      </c>
      <c r="B40" s="36" t="s">
        <v>40</v>
      </c>
      <c r="C40" s="37" t="s">
        <v>127</v>
      </c>
      <c r="D40" s="38" t="n">
        <v>1</v>
      </c>
    </row>
    <row r="41" customFormat="false" ht="15" hidden="false" customHeight="false" outlineLevel="0" collapsed="false">
      <c r="A41" s="35"/>
      <c r="B41" s="35"/>
      <c r="C41" s="37" t="s">
        <v>132</v>
      </c>
      <c r="D41" s="38" t="n">
        <v>1</v>
      </c>
    </row>
    <row r="42" customFormat="false" ht="15" hidden="false" customHeight="false" outlineLevel="0" collapsed="false">
      <c r="A42" s="35"/>
      <c r="B42" s="35"/>
      <c r="C42" s="37" t="s">
        <v>128</v>
      </c>
      <c r="D42" s="38" t="n">
        <v>1</v>
      </c>
    </row>
    <row r="43" customFormat="false" ht="15" hidden="false" customHeight="false" outlineLevel="0" collapsed="false">
      <c r="A43" s="35"/>
      <c r="B43" s="35"/>
      <c r="C43" s="37" t="s">
        <v>130</v>
      </c>
      <c r="D43" s="38" t="n">
        <v>1</v>
      </c>
    </row>
    <row r="44" customFormat="false" ht="15" hidden="false" customHeight="false" outlineLevel="0" collapsed="false">
      <c r="A44" s="35"/>
      <c r="B44" s="35"/>
      <c r="C44" s="37" t="s">
        <v>131</v>
      </c>
      <c r="D44" s="38" t="n">
        <v>1</v>
      </c>
    </row>
    <row r="45" customFormat="false" ht="15" hidden="false" customHeight="false" outlineLevel="0" collapsed="false">
      <c r="A45" s="35"/>
      <c r="B45" s="35"/>
      <c r="C45" s="37" t="s">
        <v>129</v>
      </c>
      <c r="D45" s="38" t="n">
        <v>1</v>
      </c>
    </row>
    <row r="46" customFormat="false" ht="15" hidden="false" customHeight="false" outlineLevel="0" collapsed="false">
      <c r="A46" s="30"/>
      <c r="B46" s="31" t="s">
        <v>120</v>
      </c>
      <c r="C46" s="31"/>
      <c r="D46" s="32" t="n">
        <f aca="false">SUM(D40:D45)</f>
        <v>6</v>
      </c>
    </row>
    <row r="47" customFormat="false" ht="15" hidden="false" customHeight="true" outlineLevel="0" collapsed="false">
      <c r="A47" s="35" t="s">
        <v>32</v>
      </c>
      <c r="B47" s="36" t="s">
        <v>43</v>
      </c>
      <c r="C47" s="37" t="s">
        <v>127</v>
      </c>
      <c r="D47" s="38" t="n">
        <v>1</v>
      </c>
    </row>
    <row r="48" customFormat="false" ht="15" hidden="false" customHeight="false" outlineLevel="0" collapsed="false">
      <c r="A48" s="35"/>
      <c r="B48" s="35"/>
      <c r="C48" s="37" t="s">
        <v>130</v>
      </c>
      <c r="D48" s="38" t="n">
        <v>1</v>
      </c>
    </row>
    <row r="49" customFormat="false" ht="15" hidden="false" customHeight="false" outlineLevel="0" collapsed="false">
      <c r="A49" s="35"/>
      <c r="B49" s="35"/>
      <c r="C49" s="37" t="s">
        <v>131</v>
      </c>
      <c r="D49" s="38" t="n">
        <v>1</v>
      </c>
    </row>
    <row r="50" customFormat="false" ht="15" hidden="false" customHeight="false" outlineLevel="0" collapsed="false">
      <c r="A50" s="35"/>
      <c r="B50" s="35"/>
      <c r="C50" s="37" t="s">
        <v>133</v>
      </c>
      <c r="D50" s="38" t="n">
        <v>1</v>
      </c>
    </row>
    <row r="51" customFormat="false" ht="15" hidden="false" customHeight="false" outlineLevel="0" collapsed="false">
      <c r="A51" s="30"/>
      <c r="B51" s="31" t="s">
        <v>120</v>
      </c>
      <c r="C51" s="31"/>
      <c r="D51" s="32" t="n">
        <f aca="false">SUM(D47:D50)</f>
        <v>4</v>
      </c>
    </row>
    <row r="52" customFormat="false" ht="15" hidden="false" customHeight="true" outlineLevel="0" collapsed="false">
      <c r="A52" s="35" t="s">
        <v>32</v>
      </c>
      <c r="B52" s="36" t="s">
        <v>46</v>
      </c>
      <c r="C52" s="37" t="s">
        <v>127</v>
      </c>
      <c r="D52" s="38" t="n">
        <v>1</v>
      </c>
    </row>
    <row r="53" customFormat="false" ht="15" hidden="false" customHeight="false" outlineLevel="0" collapsed="false">
      <c r="A53" s="35"/>
      <c r="B53" s="35"/>
      <c r="C53" s="37" t="s">
        <v>130</v>
      </c>
      <c r="D53" s="38" t="n">
        <v>1</v>
      </c>
    </row>
    <row r="54" customFormat="false" ht="15" hidden="false" customHeight="false" outlineLevel="0" collapsed="false">
      <c r="A54" s="35"/>
      <c r="B54" s="35"/>
      <c r="C54" s="37" t="s">
        <v>133</v>
      </c>
      <c r="D54" s="38" t="n">
        <v>1</v>
      </c>
    </row>
    <row r="55" customFormat="false" ht="15" hidden="false" customHeight="false" outlineLevel="0" collapsed="false">
      <c r="A55" s="30"/>
      <c r="B55" s="31" t="s">
        <v>120</v>
      </c>
      <c r="C55" s="31"/>
      <c r="D55" s="32" t="n">
        <f aca="false">SUM(D52:D54)</f>
        <v>3</v>
      </c>
    </row>
    <row r="56" customFormat="false" ht="15" hidden="false" customHeight="true" outlineLevel="0" collapsed="false">
      <c r="A56" s="35" t="s">
        <v>32</v>
      </c>
      <c r="B56" s="36" t="s">
        <v>49</v>
      </c>
      <c r="C56" s="37" t="s">
        <v>127</v>
      </c>
      <c r="D56" s="38" t="n">
        <v>1</v>
      </c>
    </row>
    <row r="57" customFormat="false" ht="15" hidden="false" customHeight="false" outlineLevel="0" collapsed="false">
      <c r="A57" s="35"/>
      <c r="B57" s="35"/>
      <c r="C57" s="37" t="s">
        <v>132</v>
      </c>
      <c r="D57" s="38" t="n">
        <v>1</v>
      </c>
    </row>
    <row r="58" customFormat="false" ht="15" hidden="false" customHeight="false" outlineLevel="0" collapsed="false">
      <c r="A58" s="35"/>
      <c r="B58" s="35"/>
      <c r="C58" s="37" t="s">
        <v>128</v>
      </c>
      <c r="D58" s="38" t="n">
        <v>1</v>
      </c>
    </row>
    <row r="59" customFormat="false" ht="15" hidden="false" customHeight="false" outlineLevel="0" collapsed="false">
      <c r="A59" s="35"/>
      <c r="B59" s="35"/>
      <c r="C59" s="37" t="s">
        <v>130</v>
      </c>
      <c r="D59" s="38" t="n">
        <v>1</v>
      </c>
    </row>
    <row r="60" customFormat="false" ht="15" hidden="false" customHeight="false" outlineLevel="0" collapsed="false">
      <c r="A60" s="35"/>
      <c r="B60" s="35"/>
      <c r="C60" s="37" t="s">
        <v>131</v>
      </c>
      <c r="D60" s="38" t="n">
        <v>1</v>
      </c>
    </row>
    <row r="61" customFormat="false" ht="15" hidden="false" customHeight="false" outlineLevel="0" collapsed="false">
      <c r="A61" s="35"/>
      <c r="B61" s="35"/>
      <c r="C61" s="37" t="s">
        <v>129</v>
      </c>
      <c r="D61" s="38" t="n">
        <v>1</v>
      </c>
    </row>
    <row r="62" customFormat="false" ht="15" hidden="false" customHeight="false" outlineLevel="0" collapsed="false">
      <c r="A62" s="35"/>
      <c r="B62" s="35"/>
      <c r="C62" s="37" t="s">
        <v>133</v>
      </c>
      <c r="D62" s="38" t="n">
        <v>2</v>
      </c>
    </row>
    <row r="63" customFormat="false" ht="15" hidden="false" customHeight="false" outlineLevel="0" collapsed="false">
      <c r="A63" s="30"/>
      <c r="B63" s="31" t="s">
        <v>120</v>
      </c>
      <c r="C63" s="31"/>
      <c r="D63" s="32" t="n">
        <f aca="false">SUM(D56:D62)</f>
        <v>8</v>
      </c>
    </row>
    <row r="64" customFormat="false" ht="15" hidden="false" customHeight="true" outlineLevel="0" collapsed="false">
      <c r="A64" s="39" t="s">
        <v>52</v>
      </c>
      <c r="B64" s="40" t="s">
        <v>53</v>
      </c>
      <c r="C64" s="41" t="s">
        <v>134</v>
      </c>
      <c r="D64" s="42" t="n">
        <v>1</v>
      </c>
    </row>
    <row r="65" customFormat="false" ht="15" hidden="false" customHeight="false" outlineLevel="0" collapsed="false">
      <c r="A65" s="39"/>
      <c r="B65" s="39"/>
      <c r="C65" s="41" t="s">
        <v>135</v>
      </c>
      <c r="D65" s="42" t="n">
        <v>1</v>
      </c>
    </row>
    <row r="66" customFormat="false" ht="15" hidden="false" customHeight="false" outlineLevel="0" collapsed="false">
      <c r="A66" s="39"/>
      <c r="B66" s="39"/>
      <c r="C66" s="41" t="s">
        <v>136</v>
      </c>
      <c r="D66" s="42" t="n">
        <v>1</v>
      </c>
    </row>
    <row r="67" customFormat="false" ht="15" hidden="false" customHeight="false" outlineLevel="0" collapsed="false">
      <c r="A67" s="30"/>
      <c r="B67" s="31" t="s">
        <v>120</v>
      </c>
      <c r="C67" s="31"/>
      <c r="D67" s="32" t="n">
        <f aca="false">SUM(D64:D66)</f>
        <v>3</v>
      </c>
    </row>
    <row r="68" customFormat="false" ht="15" hidden="false" customHeight="true" outlineLevel="0" collapsed="false">
      <c r="A68" s="39" t="s">
        <v>52</v>
      </c>
      <c r="B68" s="40" t="s">
        <v>56</v>
      </c>
      <c r="C68" s="41" t="s">
        <v>135</v>
      </c>
      <c r="D68" s="42" t="n">
        <v>1</v>
      </c>
    </row>
    <row r="69" customFormat="false" ht="15" hidden="false" customHeight="false" outlineLevel="0" collapsed="false">
      <c r="A69" s="39"/>
      <c r="B69" s="39"/>
      <c r="C69" s="41" t="s">
        <v>137</v>
      </c>
      <c r="D69" s="42" t="n">
        <v>1</v>
      </c>
    </row>
    <row r="70" customFormat="false" ht="15" hidden="false" customHeight="false" outlineLevel="0" collapsed="false">
      <c r="A70" s="30"/>
      <c r="B70" s="31" t="s">
        <v>120</v>
      </c>
      <c r="C70" s="31"/>
      <c r="D70" s="32" t="n">
        <f aca="false">SUM(D68:D69)</f>
        <v>2</v>
      </c>
    </row>
    <row r="71" customFormat="false" ht="15" hidden="false" customHeight="true" outlineLevel="0" collapsed="false">
      <c r="A71" s="39" t="s">
        <v>52</v>
      </c>
      <c r="B71" s="40" t="s">
        <v>59</v>
      </c>
      <c r="C71" s="41" t="s">
        <v>136</v>
      </c>
      <c r="D71" s="42" t="n">
        <v>1</v>
      </c>
    </row>
    <row r="72" customFormat="false" ht="15" hidden="false" customHeight="false" outlineLevel="0" collapsed="false">
      <c r="A72" s="39"/>
      <c r="B72" s="39"/>
      <c r="C72" s="41" t="s">
        <v>137</v>
      </c>
      <c r="D72" s="42" t="n">
        <v>1</v>
      </c>
    </row>
    <row r="73" customFormat="false" ht="15" hidden="false" customHeight="false" outlineLevel="0" collapsed="false">
      <c r="A73" s="30"/>
      <c r="B73" s="31" t="s">
        <v>120</v>
      </c>
      <c r="C73" s="31"/>
      <c r="D73" s="32" t="n">
        <f aca="false">SUM(D71:D72)</f>
        <v>2</v>
      </c>
    </row>
    <row r="74" customFormat="false" ht="15" hidden="false" customHeight="false" outlineLevel="0" collapsed="false">
      <c r="A74" s="43" t="s">
        <v>52</v>
      </c>
      <c r="B74" s="44" t="s">
        <v>62</v>
      </c>
      <c r="C74" s="41" t="s">
        <v>134</v>
      </c>
      <c r="D74" s="42" t="n">
        <v>2</v>
      </c>
    </row>
    <row r="75" customFormat="false" ht="15" hidden="false" customHeight="false" outlineLevel="0" collapsed="false">
      <c r="A75" s="30"/>
      <c r="B75" s="31" t="s">
        <v>120</v>
      </c>
      <c r="C75" s="31"/>
      <c r="D75" s="32" t="n">
        <f aca="false">SUM(D74)</f>
        <v>2</v>
      </c>
    </row>
    <row r="76" customFormat="false" ht="15" hidden="false" customHeight="true" outlineLevel="0" collapsed="false">
      <c r="A76" s="39" t="s">
        <v>52</v>
      </c>
      <c r="B76" s="40" t="s">
        <v>65</v>
      </c>
      <c r="C76" s="41" t="s">
        <v>137</v>
      </c>
      <c r="D76" s="42" t="n">
        <v>1</v>
      </c>
    </row>
    <row r="77" customFormat="false" ht="15" hidden="false" customHeight="false" outlineLevel="0" collapsed="false">
      <c r="A77" s="39"/>
      <c r="B77" s="39"/>
      <c r="C77" s="41" t="s">
        <v>138</v>
      </c>
      <c r="D77" s="42" t="n">
        <v>1</v>
      </c>
    </row>
    <row r="78" customFormat="false" ht="15" hidden="false" customHeight="false" outlineLevel="0" collapsed="false">
      <c r="A78" s="39"/>
      <c r="B78" s="39"/>
      <c r="C78" s="41" t="s">
        <v>136</v>
      </c>
      <c r="D78" s="42" t="n">
        <v>1</v>
      </c>
    </row>
    <row r="79" customFormat="false" ht="15" hidden="false" customHeight="false" outlineLevel="0" collapsed="false">
      <c r="A79" s="39"/>
      <c r="B79" s="39"/>
      <c r="C79" s="41" t="s">
        <v>134</v>
      </c>
      <c r="D79" s="42" t="n">
        <v>1</v>
      </c>
    </row>
    <row r="80" customFormat="false" ht="15" hidden="false" customHeight="false" outlineLevel="0" collapsed="false">
      <c r="A80" s="30"/>
      <c r="B80" s="31" t="s">
        <v>120</v>
      </c>
      <c r="C80" s="31"/>
      <c r="D80" s="32" t="n">
        <f aca="false">SUM(D76:D79)</f>
        <v>4</v>
      </c>
    </row>
    <row r="81" customFormat="false" ht="15" hidden="false" customHeight="true" outlineLevel="0" collapsed="false">
      <c r="A81" s="39" t="s">
        <v>52</v>
      </c>
      <c r="B81" s="40" t="s">
        <v>68</v>
      </c>
      <c r="C81" s="41" t="s">
        <v>134</v>
      </c>
      <c r="D81" s="42" t="n">
        <v>2</v>
      </c>
    </row>
    <row r="82" customFormat="false" ht="15" hidden="false" customHeight="false" outlineLevel="0" collapsed="false">
      <c r="A82" s="39"/>
      <c r="B82" s="39"/>
      <c r="C82" s="41" t="s">
        <v>139</v>
      </c>
      <c r="D82" s="42" t="n">
        <v>1</v>
      </c>
    </row>
    <row r="83" customFormat="false" ht="15" hidden="false" customHeight="false" outlineLevel="0" collapsed="false">
      <c r="A83" s="39"/>
      <c r="B83" s="39"/>
      <c r="C83" s="41" t="s">
        <v>137</v>
      </c>
      <c r="D83" s="42" t="n">
        <v>1</v>
      </c>
    </row>
    <row r="84" customFormat="false" ht="15" hidden="false" customHeight="false" outlineLevel="0" collapsed="false">
      <c r="A84" s="39"/>
      <c r="B84" s="39"/>
      <c r="C84" s="41" t="s">
        <v>136</v>
      </c>
      <c r="D84" s="42" t="n">
        <v>1</v>
      </c>
    </row>
    <row r="85" customFormat="false" ht="15" hidden="false" customHeight="false" outlineLevel="0" collapsed="false">
      <c r="A85" s="30"/>
      <c r="B85" s="31" t="s">
        <v>120</v>
      </c>
      <c r="C85" s="31"/>
      <c r="D85" s="32" t="n">
        <f aca="false">SUM(D81:D84)</f>
        <v>5</v>
      </c>
    </row>
    <row r="86" customFormat="false" ht="15" hidden="false" customHeight="true" outlineLevel="0" collapsed="false">
      <c r="A86" s="45" t="s">
        <v>71</v>
      </c>
      <c r="B86" s="46" t="s">
        <v>72</v>
      </c>
      <c r="C86" s="47" t="s">
        <v>140</v>
      </c>
      <c r="D86" s="48" t="n">
        <v>1</v>
      </c>
    </row>
    <row r="87" customFormat="false" ht="15" hidden="false" customHeight="false" outlineLevel="0" collapsed="false">
      <c r="A87" s="45"/>
      <c r="B87" s="45"/>
      <c r="C87" s="47" t="s">
        <v>141</v>
      </c>
      <c r="D87" s="48" t="n">
        <v>1</v>
      </c>
    </row>
    <row r="88" customFormat="false" ht="15" hidden="false" customHeight="false" outlineLevel="0" collapsed="false">
      <c r="A88" s="45"/>
      <c r="B88" s="45"/>
      <c r="C88" s="47" t="s">
        <v>142</v>
      </c>
      <c r="D88" s="48" t="n">
        <v>1</v>
      </c>
    </row>
    <row r="89" customFormat="false" ht="15" hidden="false" customHeight="false" outlineLevel="0" collapsed="false">
      <c r="A89" s="30"/>
      <c r="B89" s="31" t="s">
        <v>120</v>
      </c>
      <c r="C89" s="31"/>
      <c r="D89" s="32" t="n">
        <f aca="false">SUM(D86:D88)</f>
        <v>3</v>
      </c>
    </row>
    <row r="90" customFormat="false" ht="15" hidden="false" customHeight="true" outlineLevel="0" collapsed="false">
      <c r="A90" s="45" t="s">
        <v>71</v>
      </c>
      <c r="B90" s="46" t="s">
        <v>75</v>
      </c>
      <c r="C90" s="47" t="s">
        <v>143</v>
      </c>
      <c r="D90" s="48" t="n">
        <v>1</v>
      </c>
    </row>
    <row r="91" customFormat="false" ht="15" hidden="false" customHeight="false" outlineLevel="0" collapsed="false">
      <c r="A91" s="45"/>
      <c r="B91" s="45"/>
      <c r="C91" s="47" t="s">
        <v>144</v>
      </c>
      <c r="D91" s="48" t="n">
        <v>1</v>
      </c>
    </row>
    <row r="92" customFormat="false" ht="15" hidden="false" customHeight="false" outlineLevel="0" collapsed="false">
      <c r="A92" s="45"/>
      <c r="B92" s="45"/>
      <c r="C92" s="47" t="s">
        <v>145</v>
      </c>
      <c r="D92" s="48" t="n">
        <v>1</v>
      </c>
    </row>
    <row r="93" customFormat="false" ht="15" hidden="false" customHeight="false" outlineLevel="0" collapsed="false">
      <c r="A93" s="30"/>
      <c r="B93" s="31" t="s">
        <v>120</v>
      </c>
      <c r="C93" s="31"/>
      <c r="D93" s="32" t="n">
        <f aca="false">SUM(D90:D92)</f>
        <v>3</v>
      </c>
    </row>
    <row r="94" customFormat="false" ht="15" hidden="false" customHeight="true" outlineLevel="0" collapsed="false">
      <c r="A94" s="45" t="s">
        <v>71</v>
      </c>
      <c r="B94" s="46" t="s">
        <v>77</v>
      </c>
      <c r="C94" s="47" t="s">
        <v>144</v>
      </c>
      <c r="D94" s="48" t="n">
        <v>1</v>
      </c>
    </row>
    <row r="95" customFormat="false" ht="15" hidden="false" customHeight="false" outlineLevel="0" collapsed="false">
      <c r="A95" s="45"/>
      <c r="B95" s="45"/>
      <c r="C95" s="47" t="s">
        <v>146</v>
      </c>
      <c r="D95" s="48" t="n">
        <v>1</v>
      </c>
    </row>
    <row r="96" customFormat="false" ht="15" hidden="false" customHeight="false" outlineLevel="0" collapsed="false">
      <c r="A96" s="45"/>
      <c r="B96" s="45"/>
      <c r="C96" s="47" t="s">
        <v>142</v>
      </c>
      <c r="D96" s="48" t="n">
        <v>1</v>
      </c>
    </row>
    <row r="97" customFormat="false" ht="15" hidden="false" customHeight="false" outlineLevel="0" collapsed="false">
      <c r="A97" s="30"/>
      <c r="B97" s="31" t="s">
        <v>120</v>
      </c>
      <c r="C97" s="31"/>
      <c r="D97" s="32" t="n">
        <f aca="false">SUM(D94:D96)</f>
        <v>3</v>
      </c>
    </row>
    <row r="98" customFormat="false" ht="15" hidden="false" customHeight="true" outlineLevel="0" collapsed="false">
      <c r="A98" s="45" t="s">
        <v>71</v>
      </c>
      <c r="B98" s="46" t="s">
        <v>80</v>
      </c>
      <c r="C98" s="47" t="s">
        <v>145</v>
      </c>
      <c r="D98" s="48" t="n">
        <v>1</v>
      </c>
    </row>
    <row r="99" customFormat="false" ht="15" hidden="false" customHeight="false" outlineLevel="0" collapsed="false">
      <c r="A99" s="45"/>
      <c r="B99" s="45"/>
      <c r="C99" s="47" t="s">
        <v>143</v>
      </c>
      <c r="D99" s="48" t="n">
        <v>1</v>
      </c>
    </row>
    <row r="100" customFormat="false" ht="15" hidden="false" customHeight="false" outlineLevel="0" collapsed="false">
      <c r="A100" s="30"/>
      <c r="B100" s="31" t="s">
        <v>120</v>
      </c>
      <c r="C100" s="31"/>
      <c r="D100" s="32" t="n">
        <f aca="false">SUM(D98:D99)</f>
        <v>2</v>
      </c>
    </row>
    <row r="101" customFormat="false" ht="15" hidden="false" customHeight="true" outlineLevel="0" collapsed="false">
      <c r="A101" s="45" t="s">
        <v>71</v>
      </c>
      <c r="B101" s="46" t="s">
        <v>83</v>
      </c>
      <c r="C101" s="47" t="s">
        <v>142</v>
      </c>
      <c r="D101" s="48" t="n">
        <v>1</v>
      </c>
    </row>
    <row r="102" customFormat="false" ht="15" hidden="false" customHeight="false" outlineLevel="0" collapsed="false">
      <c r="A102" s="45"/>
      <c r="B102" s="45"/>
      <c r="C102" s="47" t="s">
        <v>141</v>
      </c>
      <c r="D102" s="48" t="n">
        <v>1</v>
      </c>
    </row>
    <row r="103" customFormat="false" ht="15" hidden="false" customHeight="false" outlineLevel="0" collapsed="false">
      <c r="A103" s="45"/>
      <c r="B103" s="45"/>
      <c r="C103" s="47" t="s">
        <v>140</v>
      </c>
      <c r="D103" s="48" t="n">
        <v>1</v>
      </c>
    </row>
    <row r="104" customFormat="false" ht="15" hidden="false" customHeight="false" outlineLevel="0" collapsed="false">
      <c r="A104" s="30"/>
      <c r="B104" s="31" t="s">
        <v>120</v>
      </c>
      <c r="C104" s="31"/>
      <c r="D104" s="32" t="n">
        <f aca="false">SUM(D101:D103)</f>
        <v>3</v>
      </c>
    </row>
    <row r="105" customFormat="false" ht="15" hidden="false" customHeight="true" outlineLevel="0" collapsed="false">
      <c r="A105" s="45" t="s">
        <v>71</v>
      </c>
      <c r="B105" s="46" t="s">
        <v>86</v>
      </c>
      <c r="C105" s="47" t="s">
        <v>145</v>
      </c>
      <c r="D105" s="48" t="n">
        <v>1</v>
      </c>
    </row>
    <row r="106" customFormat="false" ht="15" hidden="false" customHeight="false" outlineLevel="0" collapsed="false">
      <c r="A106" s="45"/>
      <c r="B106" s="45"/>
      <c r="C106" s="47" t="s">
        <v>143</v>
      </c>
      <c r="D106" s="48" t="n">
        <v>1</v>
      </c>
    </row>
    <row r="107" customFormat="false" ht="15" hidden="false" customHeight="false" outlineLevel="0" collapsed="false">
      <c r="A107" s="45"/>
      <c r="B107" s="45"/>
      <c r="C107" s="47" t="s">
        <v>146</v>
      </c>
      <c r="D107" s="48" t="n">
        <v>1</v>
      </c>
    </row>
    <row r="108" customFormat="false" ht="15" hidden="false" customHeight="false" outlineLevel="0" collapsed="false">
      <c r="A108" s="45"/>
      <c r="B108" s="45"/>
      <c r="C108" s="47" t="s">
        <v>144</v>
      </c>
      <c r="D108" s="48" t="n">
        <v>1</v>
      </c>
    </row>
    <row r="109" customFormat="false" ht="15" hidden="false" customHeight="false" outlineLevel="0" collapsed="false">
      <c r="A109" s="45"/>
      <c r="B109" s="45"/>
      <c r="C109" s="47" t="s">
        <v>142</v>
      </c>
      <c r="D109" s="48" t="n">
        <v>1</v>
      </c>
    </row>
    <row r="110" customFormat="false" ht="15" hidden="false" customHeight="false" outlineLevel="0" collapsed="false">
      <c r="A110" s="30"/>
      <c r="B110" s="31" t="s">
        <v>120</v>
      </c>
      <c r="C110" s="31"/>
      <c r="D110" s="32" t="n">
        <f aca="false">SUM(D105:D109)</f>
        <v>5</v>
      </c>
    </row>
    <row r="111" customFormat="false" ht="15" hidden="false" customHeight="true" outlineLevel="0" collapsed="false">
      <c r="A111" s="49" t="s">
        <v>89</v>
      </c>
      <c r="B111" s="50" t="s">
        <v>90</v>
      </c>
      <c r="C111" s="51" t="s">
        <v>119</v>
      </c>
      <c r="D111" s="52" t="n">
        <v>1</v>
      </c>
    </row>
    <row r="112" customFormat="false" ht="15" hidden="false" customHeight="false" outlineLevel="0" collapsed="false">
      <c r="A112" s="49"/>
      <c r="B112" s="49"/>
      <c r="C112" s="51" t="s">
        <v>122</v>
      </c>
      <c r="D112" s="52" t="n">
        <v>1</v>
      </c>
    </row>
    <row r="113" customFormat="false" ht="15" hidden="false" customHeight="false" outlineLevel="0" collapsed="false">
      <c r="A113" s="49"/>
      <c r="B113" s="49"/>
      <c r="C113" s="51" t="s">
        <v>124</v>
      </c>
      <c r="D113" s="52" t="n">
        <v>1</v>
      </c>
    </row>
    <row r="114" customFormat="false" ht="15" hidden="false" customHeight="false" outlineLevel="0" collapsed="false">
      <c r="A114" s="49"/>
      <c r="B114" s="49"/>
      <c r="C114" s="51" t="s">
        <v>147</v>
      </c>
      <c r="D114" s="52" t="n">
        <v>1</v>
      </c>
    </row>
    <row r="115" customFormat="false" ht="15" hidden="false" customHeight="false" outlineLevel="0" collapsed="false">
      <c r="A115" s="30"/>
      <c r="B115" s="31" t="s">
        <v>120</v>
      </c>
      <c r="C115" s="31"/>
      <c r="D115" s="32" t="n">
        <f aca="false">SUM(D111:D114)</f>
        <v>4</v>
      </c>
    </row>
    <row r="116" customFormat="false" ht="15" hidden="false" customHeight="true" outlineLevel="0" collapsed="false">
      <c r="A116" s="49" t="s">
        <v>89</v>
      </c>
      <c r="B116" s="50" t="s">
        <v>93</v>
      </c>
      <c r="C116" s="51" t="s">
        <v>127</v>
      </c>
      <c r="D116" s="52" t="n">
        <v>1</v>
      </c>
    </row>
    <row r="117" customFormat="false" ht="15" hidden="false" customHeight="false" outlineLevel="0" collapsed="false">
      <c r="A117" s="49"/>
      <c r="B117" s="49"/>
      <c r="C117" s="51" t="s">
        <v>132</v>
      </c>
      <c r="D117" s="52" t="n">
        <v>1</v>
      </c>
    </row>
    <row r="118" customFormat="false" ht="15" hidden="false" customHeight="false" outlineLevel="0" collapsed="false">
      <c r="A118" s="49"/>
      <c r="B118" s="49"/>
      <c r="C118" s="51" t="s">
        <v>128</v>
      </c>
      <c r="D118" s="52" t="n">
        <v>1</v>
      </c>
    </row>
    <row r="119" customFormat="false" ht="15" hidden="false" customHeight="false" outlineLevel="0" collapsed="false">
      <c r="A119" s="49"/>
      <c r="B119" s="49"/>
      <c r="C119" s="51" t="s">
        <v>147</v>
      </c>
      <c r="D119" s="52" t="n">
        <v>1</v>
      </c>
    </row>
    <row r="120" customFormat="false" ht="15" hidden="false" customHeight="false" outlineLevel="0" collapsed="false">
      <c r="A120" s="30"/>
      <c r="B120" s="31" t="s">
        <v>120</v>
      </c>
      <c r="C120" s="31"/>
      <c r="D120" s="32" t="n">
        <f aca="false">SUM(D116:D119)</f>
        <v>4</v>
      </c>
    </row>
    <row r="121" customFormat="false" ht="15" hidden="false" customHeight="true" outlineLevel="0" collapsed="false">
      <c r="A121" s="49" t="s">
        <v>89</v>
      </c>
      <c r="B121" s="50" t="s">
        <v>96</v>
      </c>
      <c r="C121" s="51" t="s">
        <v>148</v>
      </c>
      <c r="D121" s="52" t="n">
        <v>1</v>
      </c>
    </row>
    <row r="122" customFormat="false" ht="15" hidden="false" customHeight="false" outlineLevel="0" collapsed="false">
      <c r="A122" s="49"/>
      <c r="B122" s="49"/>
      <c r="C122" s="51" t="s">
        <v>149</v>
      </c>
      <c r="D122" s="52" t="n">
        <v>1</v>
      </c>
    </row>
    <row r="123" customFormat="false" ht="15" hidden="false" customHeight="false" outlineLevel="0" collapsed="false">
      <c r="A123" s="49"/>
      <c r="B123" s="49"/>
      <c r="C123" s="51" t="s">
        <v>150</v>
      </c>
      <c r="D123" s="52" t="n">
        <v>1</v>
      </c>
    </row>
    <row r="124" customFormat="false" ht="15" hidden="false" customHeight="false" outlineLevel="0" collapsed="false">
      <c r="A124" s="49"/>
      <c r="B124" s="49"/>
      <c r="C124" s="51" t="s">
        <v>151</v>
      </c>
      <c r="D124" s="52" t="n">
        <v>1</v>
      </c>
    </row>
    <row r="125" customFormat="false" ht="15" hidden="false" customHeight="false" outlineLevel="0" collapsed="false">
      <c r="A125" s="49"/>
      <c r="B125" s="49"/>
      <c r="C125" s="51" t="s">
        <v>152</v>
      </c>
      <c r="D125" s="52" t="n">
        <v>1</v>
      </c>
    </row>
    <row r="126" customFormat="false" ht="15" hidden="false" customHeight="false" outlineLevel="0" collapsed="false">
      <c r="A126" s="49"/>
      <c r="B126" s="49"/>
      <c r="C126" s="51" t="s">
        <v>147</v>
      </c>
      <c r="D126" s="52" t="n">
        <v>1</v>
      </c>
    </row>
    <row r="127" customFormat="false" ht="15" hidden="false" customHeight="false" outlineLevel="0" collapsed="false">
      <c r="A127" s="30"/>
      <c r="B127" s="31" t="s">
        <v>120</v>
      </c>
      <c r="C127" s="31"/>
      <c r="D127" s="32" t="n">
        <f aca="false">SUM(D121:D126)</f>
        <v>6</v>
      </c>
    </row>
    <row r="128" customFormat="false" ht="15" hidden="false" customHeight="true" outlineLevel="0" collapsed="false">
      <c r="A128" s="49" t="s">
        <v>89</v>
      </c>
      <c r="B128" s="50" t="s">
        <v>99</v>
      </c>
      <c r="C128" s="51" t="s">
        <v>127</v>
      </c>
      <c r="D128" s="52" t="n">
        <v>1</v>
      </c>
    </row>
    <row r="129" customFormat="false" ht="15" hidden="false" customHeight="false" outlineLevel="0" collapsed="false">
      <c r="A129" s="49"/>
      <c r="B129" s="49"/>
      <c r="C129" s="51" t="s">
        <v>132</v>
      </c>
      <c r="D129" s="52" t="n">
        <v>1</v>
      </c>
    </row>
    <row r="130" customFormat="false" ht="15" hidden="false" customHeight="false" outlineLevel="0" collapsed="false">
      <c r="A130" s="49"/>
      <c r="B130" s="49"/>
      <c r="C130" s="51" t="s">
        <v>128</v>
      </c>
      <c r="D130" s="52" t="n">
        <v>1</v>
      </c>
    </row>
    <row r="131" customFormat="false" ht="15" hidden="false" customHeight="false" outlineLevel="0" collapsed="false">
      <c r="A131" s="49"/>
      <c r="B131" s="49"/>
      <c r="C131" s="51" t="s">
        <v>130</v>
      </c>
      <c r="D131" s="52" t="n">
        <v>1</v>
      </c>
    </row>
    <row r="132" customFormat="false" ht="15" hidden="false" customHeight="false" outlineLevel="0" collapsed="false">
      <c r="A132" s="49"/>
      <c r="B132" s="49"/>
      <c r="C132" s="51" t="s">
        <v>131</v>
      </c>
      <c r="D132" s="52" t="n">
        <v>1</v>
      </c>
    </row>
    <row r="133" customFormat="false" ht="15" hidden="false" customHeight="false" outlineLevel="0" collapsed="false">
      <c r="A133" s="49"/>
      <c r="B133" s="49"/>
      <c r="C133" s="51" t="s">
        <v>129</v>
      </c>
      <c r="D133" s="52" t="n">
        <v>1</v>
      </c>
    </row>
    <row r="134" customFormat="false" ht="15" hidden="false" customHeight="false" outlineLevel="0" collapsed="false">
      <c r="A134" s="49"/>
      <c r="B134" s="49"/>
      <c r="C134" s="51" t="s">
        <v>133</v>
      </c>
      <c r="D134" s="52" t="n">
        <v>1</v>
      </c>
    </row>
    <row r="135" customFormat="false" ht="15" hidden="false" customHeight="false" outlineLevel="0" collapsed="false">
      <c r="A135" s="30"/>
      <c r="B135" s="31" t="s">
        <v>120</v>
      </c>
      <c r="C135" s="31"/>
      <c r="D135" s="32" t="n">
        <f aca="false">SUM(D128:D134)</f>
        <v>7</v>
      </c>
    </row>
    <row r="136" customFormat="false" ht="15" hidden="false" customHeight="true" outlineLevel="0" collapsed="false">
      <c r="A136" s="49" t="s">
        <v>89</v>
      </c>
      <c r="B136" s="50" t="s">
        <v>102</v>
      </c>
      <c r="C136" s="51" t="s">
        <v>119</v>
      </c>
      <c r="D136" s="52" t="n">
        <v>1</v>
      </c>
    </row>
    <row r="137" customFormat="false" ht="15" hidden="false" customHeight="false" outlineLevel="0" collapsed="false">
      <c r="A137" s="49"/>
      <c r="B137" s="49"/>
      <c r="C137" s="51" t="s">
        <v>121</v>
      </c>
      <c r="D137" s="52" t="n">
        <v>1</v>
      </c>
    </row>
    <row r="138" customFormat="false" ht="15" hidden="false" customHeight="false" outlineLevel="0" collapsed="false">
      <c r="A138" s="49"/>
      <c r="B138" s="49"/>
      <c r="C138" s="51" t="s">
        <v>122</v>
      </c>
      <c r="D138" s="52" t="n">
        <v>1</v>
      </c>
    </row>
    <row r="139" customFormat="false" ht="15" hidden="false" customHeight="false" outlineLevel="0" collapsed="false">
      <c r="A139" s="49"/>
      <c r="B139" s="49"/>
      <c r="C139" s="51" t="s">
        <v>123</v>
      </c>
      <c r="D139" s="52" t="n">
        <v>1</v>
      </c>
    </row>
    <row r="140" customFormat="false" ht="15" hidden="false" customHeight="false" outlineLevel="0" collapsed="false">
      <c r="A140" s="49"/>
      <c r="B140" s="49"/>
      <c r="C140" s="51" t="s">
        <v>124</v>
      </c>
      <c r="D140" s="52" t="n">
        <v>1</v>
      </c>
    </row>
    <row r="141" customFormat="false" ht="15" hidden="false" customHeight="false" outlineLevel="0" collapsed="false">
      <c r="A141" s="30"/>
      <c r="B141" s="31" t="s">
        <v>120</v>
      </c>
      <c r="C141" s="31"/>
      <c r="D141" s="32" t="n">
        <f aca="false">SUM(D136:D140)</f>
        <v>5</v>
      </c>
    </row>
    <row r="142" customFormat="false" ht="15" hidden="false" customHeight="true" outlineLevel="0" collapsed="false">
      <c r="A142" s="49" t="s">
        <v>89</v>
      </c>
      <c r="B142" s="50" t="s">
        <v>105</v>
      </c>
      <c r="C142" s="51" t="s">
        <v>145</v>
      </c>
      <c r="D142" s="52" t="n">
        <v>1</v>
      </c>
    </row>
    <row r="143" customFormat="false" ht="15" hidden="false" customHeight="false" outlineLevel="0" collapsed="false">
      <c r="A143" s="49"/>
      <c r="B143" s="49"/>
      <c r="C143" s="51" t="s">
        <v>143</v>
      </c>
      <c r="D143" s="52" t="n">
        <v>1</v>
      </c>
    </row>
    <row r="144" customFormat="false" ht="15" hidden="false" customHeight="false" outlineLevel="0" collapsed="false">
      <c r="A144" s="49"/>
      <c r="B144" s="49"/>
      <c r="C144" s="51" t="s">
        <v>146</v>
      </c>
      <c r="D144" s="52" t="n">
        <v>1</v>
      </c>
    </row>
    <row r="145" customFormat="false" ht="15" hidden="false" customHeight="false" outlineLevel="0" collapsed="false">
      <c r="A145" s="49"/>
      <c r="B145" s="49"/>
      <c r="C145" s="51" t="s">
        <v>144</v>
      </c>
      <c r="D145" s="52" t="n">
        <v>1</v>
      </c>
    </row>
    <row r="146" customFormat="false" ht="15" hidden="false" customHeight="false" outlineLevel="0" collapsed="false">
      <c r="A146" s="49"/>
      <c r="B146" s="49"/>
      <c r="C146" s="51" t="s">
        <v>142</v>
      </c>
      <c r="D146" s="52" t="n">
        <v>1</v>
      </c>
    </row>
    <row r="147" customFormat="false" ht="15" hidden="false" customHeight="false" outlineLevel="0" collapsed="false">
      <c r="A147" s="30"/>
      <c r="B147" s="31" t="s">
        <v>120</v>
      </c>
      <c r="C147" s="31"/>
      <c r="D147" s="32" t="n">
        <f aca="false">SUM(D142:D146)</f>
        <v>5</v>
      </c>
    </row>
    <row r="148" customFormat="false" ht="15" hidden="false" customHeight="true" outlineLevel="0" collapsed="false">
      <c r="A148" s="49" t="s">
        <v>89</v>
      </c>
      <c r="B148" s="50" t="s">
        <v>106</v>
      </c>
      <c r="C148" s="51" t="s">
        <v>134</v>
      </c>
      <c r="D148" s="52" t="n">
        <v>1</v>
      </c>
    </row>
    <row r="149" customFormat="false" ht="15" hidden="false" customHeight="false" outlineLevel="0" collapsed="false">
      <c r="A149" s="49"/>
      <c r="B149" s="49"/>
      <c r="C149" s="51" t="s">
        <v>139</v>
      </c>
      <c r="D149" s="52" t="n">
        <v>1</v>
      </c>
    </row>
    <row r="150" customFormat="false" ht="15" hidden="false" customHeight="false" outlineLevel="0" collapsed="false">
      <c r="A150" s="49"/>
      <c r="B150" s="49"/>
      <c r="C150" s="51" t="s">
        <v>137</v>
      </c>
      <c r="D150" s="52" t="n">
        <v>1</v>
      </c>
    </row>
    <row r="151" customFormat="false" ht="15" hidden="false" customHeight="false" outlineLevel="0" collapsed="false">
      <c r="A151" s="49"/>
      <c r="B151" s="49"/>
      <c r="C151" s="51" t="s">
        <v>136</v>
      </c>
      <c r="D151" s="52" t="n">
        <v>1</v>
      </c>
    </row>
    <row r="152" customFormat="false" ht="15" hidden="false" customHeight="false" outlineLevel="0" collapsed="false">
      <c r="A152" s="30"/>
      <c r="B152" s="31" t="s">
        <v>120</v>
      </c>
      <c r="C152" s="31"/>
      <c r="D152" s="32" t="n">
        <f aca="false">SUM(D148:D151)</f>
        <v>4</v>
      </c>
    </row>
  </sheetData>
  <mergeCells count="60">
    <mergeCell ref="A1:D1"/>
    <mergeCell ref="A2:D2"/>
    <mergeCell ref="A7:A9"/>
    <mergeCell ref="B7:B9"/>
    <mergeCell ref="A13:A15"/>
    <mergeCell ref="B13:B15"/>
    <mergeCell ref="A17:A18"/>
    <mergeCell ref="B17:B18"/>
    <mergeCell ref="A22:A26"/>
    <mergeCell ref="B22:B26"/>
    <mergeCell ref="A28:A30"/>
    <mergeCell ref="B28:B30"/>
    <mergeCell ref="A32:A34"/>
    <mergeCell ref="B32:B34"/>
    <mergeCell ref="A36:A38"/>
    <mergeCell ref="B36:B38"/>
    <mergeCell ref="A40:A45"/>
    <mergeCell ref="B40:B45"/>
    <mergeCell ref="A47:A50"/>
    <mergeCell ref="B47:B50"/>
    <mergeCell ref="A52:A54"/>
    <mergeCell ref="B52:B54"/>
    <mergeCell ref="A56:A62"/>
    <mergeCell ref="B56:B62"/>
    <mergeCell ref="A64:A66"/>
    <mergeCell ref="B64:B66"/>
    <mergeCell ref="A68:A69"/>
    <mergeCell ref="B68:B69"/>
    <mergeCell ref="A71:A72"/>
    <mergeCell ref="B71:B72"/>
    <mergeCell ref="A76:A79"/>
    <mergeCell ref="B76:B79"/>
    <mergeCell ref="A81:A84"/>
    <mergeCell ref="B81:B84"/>
    <mergeCell ref="A86:A88"/>
    <mergeCell ref="B86:B88"/>
    <mergeCell ref="A90:A92"/>
    <mergeCell ref="B90:B92"/>
    <mergeCell ref="A94:A96"/>
    <mergeCell ref="B94:B96"/>
    <mergeCell ref="A98:A99"/>
    <mergeCell ref="B98:B99"/>
    <mergeCell ref="A101:A103"/>
    <mergeCell ref="B101:B103"/>
    <mergeCell ref="A105:A109"/>
    <mergeCell ref="B105:B109"/>
    <mergeCell ref="A111:A114"/>
    <mergeCell ref="B111:B114"/>
    <mergeCell ref="A116:A119"/>
    <mergeCell ref="B116:B119"/>
    <mergeCell ref="A121:A126"/>
    <mergeCell ref="B121:B126"/>
    <mergeCell ref="A128:A134"/>
    <mergeCell ref="B128:B134"/>
    <mergeCell ref="A136:A140"/>
    <mergeCell ref="B136:B140"/>
    <mergeCell ref="A142:A146"/>
    <mergeCell ref="B142:B146"/>
    <mergeCell ref="A148:A151"/>
    <mergeCell ref="B148:B1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2026-06-16T01:51:06Z</dcterms:created>
  <dc:creator>openpyxl</dc:creator>
  <dc:description/>
  <dc:language>en-US</dc:language>
  <cp:lastModifiedBy/>
  <dcterms:modified xsi:type="dcterms:W3CDTF">2026-06-16T14:40:43Z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